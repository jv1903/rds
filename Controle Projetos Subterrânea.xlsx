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14379077\OneDrive - GRUPO EQUATORIAL ENERGIA\01. P&amp;C Técnico\05. Projetos\"/>
    </mc:Choice>
  </mc:AlternateContent>
  <xr:revisionPtr revIDLastSave="0" documentId="8_{F80D729F-ECBE-49B8-8504-30E3D0CFFBBA}" xr6:coauthVersionLast="47" xr6:coauthVersionMax="47" xr10:uidLastSave="{00000000-0000-0000-0000-000000000000}"/>
  <bookViews>
    <workbookView xWindow="0" yWindow="0" windowWidth="17256" windowHeight="4260" xr2:uid="{00000000-000D-0000-FFFF-FFFF00000000}"/>
  </bookViews>
  <sheets>
    <sheet name="PROJETOS" sheetId="5" r:id="rId1"/>
    <sheet name="PRAZO TRS" sheetId="9" r:id="rId2"/>
    <sheet name="PRAZO CHAVES" sheetId="8" r:id="rId3"/>
    <sheet name="PRAZO ALS" sheetId="6" r:id="rId4"/>
    <sheet name="Concluídos" sheetId="2" r:id="rId5"/>
  </sheets>
  <calcPr calcId="191028"/>
  <pivotCaches>
    <pivotCache cacheId="427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J1" i="5" l="1"/>
  <c r="K1" i="5"/>
  <c r="I1" i="5"/>
</calcChain>
</file>

<file path=xl/sharedStrings.xml><?xml version="1.0" encoding="utf-8"?>
<sst xmlns="http://schemas.openxmlformats.org/spreadsheetml/2006/main" count="712" uniqueCount="285">
  <si>
    <t>Tipo de demanda</t>
  </si>
  <si>
    <t>STATUS</t>
  </si>
  <si>
    <t>PEP</t>
  </si>
  <si>
    <t>DESCRIÇÃO</t>
  </si>
  <si>
    <t>Nota SISGB</t>
  </si>
  <si>
    <t>PRAZO</t>
  </si>
  <si>
    <t>Endereço</t>
  </si>
  <si>
    <t>Cliente</t>
  </si>
  <si>
    <t>KM REDE</t>
  </si>
  <si>
    <t>QTD CH SF6</t>
  </si>
  <si>
    <t>QTD DJ</t>
  </si>
  <si>
    <t>TR</t>
  </si>
  <si>
    <t>Local</t>
  </si>
  <si>
    <t>Mês</t>
  </si>
  <si>
    <t>Obs</t>
  </si>
  <si>
    <t>OBS2</t>
  </si>
  <si>
    <t>PROJETO PMRDS</t>
  </si>
  <si>
    <t>EM OBRAS</t>
  </si>
  <si>
    <t>RS-2509504MRS1.1.0104</t>
  </si>
  <si>
    <t>PMRDS&gt;CHAVES_SF6&gt;53447-1_PÇA RIO BRANCO</t>
  </si>
  <si>
    <t>NR-CAM53447-ME-POA-MRS-CO-PÇA RIO BRANCO-SUBTERRÂNEA</t>
  </si>
  <si>
    <t>Praça Rio Branco</t>
  </si>
  <si>
    <t>EQUATORIAL</t>
  </si>
  <si>
    <t>Câmara Rio Branco</t>
  </si>
  <si>
    <t>Plano manutenção</t>
  </si>
  <si>
    <t>RS-2509504MRS1.1.0105</t>
  </si>
  <si>
    <t>PMRDS&gt;CHAVES_SF6&gt;50020-1_SULACAP</t>
  </si>
  <si>
    <t>NR-CAM50020-ME-POA-MRS-CO-SULACAP-SUBTERRÂNEA</t>
  </si>
  <si>
    <t>Av. Borges de Medeiros, 410</t>
  </si>
  <si>
    <t>Edifício Sulacap</t>
  </si>
  <si>
    <t>EM PROJETO</t>
  </si>
  <si>
    <t>RS-2509504MRS1.1.0106</t>
  </si>
  <si>
    <t>PMRDS&gt;CHAVES_SF6&gt;56085-5_FORMAC</t>
  </si>
  <si>
    <t>NR-SUBTERRÂNEO-ME-POA-MRS-CO-56085/5-FORMAC</t>
  </si>
  <si>
    <t>Rua 7 de Setembro, 1133</t>
  </si>
  <si>
    <t>FORMAC</t>
  </si>
  <si>
    <t>NR-SUBTERRÂNEO-ME-POA-MRS-CO-CAM53007/7-PROCURADORIA REGION. DA UNIÃO</t>
  </si>
  <si>
    <t>RS-2509504MRS1.1.0107</t>
  </si>
  <si>
    <t>PMRDS&gt;CHAVES_SF6&gt;56102-9_GALERIA ROSÁRIO</t>
  </si>
  <si>
    <t>NR-SUBTERRÂNEO-ME-POA-MRS-CO-CAM56102/9-GALERIA ROSÁRIO</t>
  </si>
  <si>
    <t>Rua Marechal Floriano Peixoto, 38</t>
  </si>
  <si>
    <t>Galeria Rosário</t>
  </si>
  <si>
    <t>RS-2509504MRS1.1.0108</t>
  </si>
  <si>
    <t>PMRDS&gt;CHAVES_SF6&gt;56187-8_EDIFÍCIO NAUTIL</t>
  </si>
  <si>
    <t>NR-SUBTERRÂNEO-ME-POA-MRS-CO-CAM56187/8-EDIFÍCIO NAUTILUS</t>
  </si>
  <si>
    <t>Rua Vigário José Inácio, 295</t>
  </si>
  <si>
    <t>Edifício Nautilus</t>
  </si>
  <si>
    <t>RS-2509504MRS1.1.0109</t>
  </si>
  <si>
    <t>PMRDS&gt;CHAVES_SF6&gt;56283-1_EDIFÍCIO NOVA Y</t>
  </si>
  <si>
    <t>NR-SUBTERRÂNEO-ME-POA-MRS-CO-CAM56283/1-EDIFÍCIO NOVA YORK</t>
  </si>
  <si>
    <t>Av. Salgado Filho, 257</t>
  </si>
  <si>
    <t>Edifício Nova York</t>
  </si>
  <si>
    <t>RS-2509504MRS1.1.0110</t>
  </si>
  <si>
    <t>PMRDS&gt;CHAVES_SF6&gt;56137-1_EDIFÍCIO COSTA</t>
  </si>
  <si>
    <t>NR-SUBTERRÂNEO-ME-POA-MRS-CO-CAM56137/1-EDIFÍCIO COSTA FARIA</t>
  </si>
  <si>
    <t>Av. Salgado Filho, 327</t>
  </si>
  <si>
    <t>Edifício Costa Faria</t>
  </si>
  <si>
    <t>RS-2509504MRS1.1.0111</t>
  </si>
  <si>
    <t>PMRDS&gt;CHAVES_SF6&gt;53224/0-EDIFÍCIO IPASE</t>
  </si>
  <si>
    <t>NR-SUBTERRÂNEO-ME-POA-MRS-CO-CAM53224/0-EDIFÍCIO IPASE</t>
  </si>
  <si>
    <t>Trv. Mário Cinco Paus, 20</t>
  </si>
  <si>
    <t>Edificio IPASE</t>
  </si>
  <si>
    <t>Edifício Palácio Itália</t>
  </si>
  <si>
    <t>RS-2509504MRS1.1.0112</t>
  </si>
  <si>
    <t>PMRDS&gt;CHAVES_SF6&gt;56434/6-EDIFÍCIO CATEDR</t>
  </si>
  <si>
    <t>NR-SUBTERRÂNEO-ME-POA-MRS-CO-CAM56434/6-EDIFÍCIO CATEDRAL</t>
  </si>
  <si>
    <t>Rua Duque de Caxias, 1208</t>
  </si>
  <si>
    <t>Edifício Catedral</t>
  </si>
  <si>
    <t>NR-SUBTERRÂNEO-ME-POA-MRS-CO-CAM56259/9-PLAZINHA (PÇA OTAVIO ROCHA)</t>
  </si>
  <si>
    <t>RS-2509504MRS1.1.0113</t>
  </si>
  <si>
    <t>PMRDS&gt;CHAVES_SF6&gt;53435-8_TEVAH</t>
  </si>
  <si>
    <t>NR-SUBTERRÂNEO-ME-POA-MRS-CO-CAM53435/8-TEVAH</t>
  </si>
  <si>
    <t>Av. Alberto Bins, 374</t>
  </si>
  <si>
    <t>Tevah</t>
  </si>
  <si>
    <t>RS-2509504MRS1.1.0114</t>
  </si>
  <si>
    <t>PMRDS&gt;CHAVES_SF6&gt;56051-1_EDIFÍCIO MARKET</t>
  </si>
  <si>
    <t>NR-SUBTERRÂNEO-ME-POA-MRS-CO-CAM56051/1-EDIFÍCIO MARKET CENTER</t>
  </si>
  <si>
    <t>Av. Alberto Bins, 658</t>
  </si>
  <si>
    <t>Edifício Market Center</t>
  </si>
  <si>
    <t>RS-2509504MRS1.1.0115</t>
  </si>
  <si>
    <t>PMRDS&gt;CHAVES_SF6&gt;56439/7-EDIFÍCIO DOM FE</t>
  </si>
  <si>
    <t>NR-SUBTERRÂNEO-ME-POA-MRS-CO-CAM56439/7-EDIFÍCIO DOM FELIPE</t>
  </si>
  <si>
    <t>Rua Duque de Caxias, 1304</t>
  </si>
  <si>
    <t>Edifício Dom Felipe</t>
  </si>
  <si>
    <t>NR-SUBTERRÂNEO-ME-POA-MRS-CO-CAM53498/6-SESC</t>
  </si>
  <si>
    <t>RS-2509504MRS1.1.0116</t>
  </si>
  <si>
    <t>PMRDS&gt;CHAVES_SF6&gt;56375-7_FUND BANRISUL</t>
  </si>
  <si>
    <t>NR-SUBTERRÂNEO-ME-POA-MRS-CO-CAM56375/7-FUND BANRISUL</t>
  </si>
  <si>
    <t>Rua 7 de Setembro, 760</t>
  </si>
  <si>
    <t>Fund Banrisul</t>
  </si>
  <si>
    <t>RS-2509504MRS1.1.0117</t>
  </si>
  <si>
    <t>PMRDS&gt;CHAVES_SF6&gt;50367-3_ED.CALIFORNIA</t>
  </si>
  <si>
    <t>NR-SUBTERRÂNEO-ME-POA-MRS-CO-CAM50367/3-ED.CALIFORNIA</t>
  </si>
  <si>
    <t>Rua Duque de Caxias, 741</t>
  </si>
  <si>
    <t>California</t>
  </si>
  <si>
    <t>RS-2509504MRS1.1.0118</t>
  </si>
  <si>
    <t>PMRDS&gt;CHAVES_SF6&gt;50005-4_DOM.FELICIANO</t>
  </si>
  <si>
    <t>NR-SUBTERRÂNEO-ME-POA-MRS-CO-CAM50005/4-DOM.FELICIANO</t>
  </si>
  <si>
    <t>Praça Dom Feliciano</t>
  </si>
  <si>
    <t>Câmara Dom Feliciano</t>
  </si>
  <si>
    <t>RS-2509504MRS1.1.0088</t>
  </si>
  <si>
    <t>PMRDS&gt;RECON.1PL&gt;ETAPA 1</t>
  </si>
  <si>
    <t>1PL</t>
  </si>
  <si>
    <t>RS-2509504MRS1.1.0089</t>
  </si>
  <si>
    <t>PMRDS&gt;RECON.1PL&gt;ETAPA 2</t>
  </si>
  <si>
    <t>RS-2509504MRS1.1.0090</t>
  </si>
  <si>
    <t>PMRDS&gt;RECON.4PW&gt;ETAPA 1</t>
  </si>
  <si>
    <t>4PW</t>
  </si>
  <si>
    <t>RS-2509504MRS1.1.0091</t>
  </si>
  <si>
    <t>PMRDS&gt;RECON.4PW&gt;ETAPA 2</t>
  </si>
  <si>
    <t>RS-2509504MRS1.1.0092</t>
  </si>
  <si>
    <t>PMRDS&gt;RECON.4PW&gt;ETAPA 3</t>
  </si>
  <si>
    <t>RS-2509504MRS1.1.0093</t>
  </si>
  <si>
    <t>PMRDS&gt;RECON.4PW&gt;ETAPA 4</t>
  </si>
  <si>
    <t>RS-2509504MRS1.1.0094</t>
  </si>
  <si>
    <t>PMRDS&gt;RECON.4PW&gt;ETAPA 5</t>
  </si>
  <si>
    <t>RS-2509504MRS1.1.0095</t>
  </si>
  <si>
    <t>PMRDS&gt;RECON.5RNE&gt;ETAPA 1</t>
  </si>
  <si>
    <t>5RNE</t>
  </si>
  <si>
    <t>RS-2509504MRS1.1.0096</t>
  </si>
  <si>
    <t>PMRDS&gt;RECON.5RNE&gt;ETAPA 2</t>
  </si>
  <si>
    <t>RS-2509504MRS1.1.0097</t>
  </si>
  <si>
    <t>PMRDS&gt;RECON.5RNE&gt;ETAPA 3</t>
  </si>
  <si>
    <t>RS-2509504MRS1.1.0098</t>
  </si>
  <si>
    <t>PMRDS&gt;RECON.5RNE&gt;ETAPA 4</t>
  </si>
  <si>
    <t>RS-2509504MRS1.1.0099</t>
  </si>
  <si>
    <t>PMRDS&gt;RECON.5RNE&gt;ETAPA 5</t>
  </si>
  <si>
    <t>RS-2509504MRS1.1.0100</t>
  </si>
  <si>
    <t>PMRDS&gt;RECON.2RW&gt;ETAPA 1</t>
  </si>
  <si>
    <t>2RW</t>
  </si>
  <si>
    <t>RS-2509504MRS1.1.0101</t>
  </si>
  <si>
    <t>PMRDS&gt;RECON.2RW&gt;ETAPA 2</t>
  </si>
  <si>
    <t>RS-2509504MRS1.1.0102</t>
  </si>
  <si>
    <t>PMRDS&gt;RECON.2RW&gt;ETAPA 3</t>
  </si>
  <si>
    <t>RS-2509504MRS1.1.0103</t>
  </si>
  <si>
    <t>PMRDS&gt;RECON.2RW&gt;ETAPA 4</t>
  </si>
  <si>
    <t>RS-2509504MRS1.1.0069</t>
  </si>
  <si>
    <t>PMRDS&gt;RECON.1PW&gt;ETAPA 1</t>
  </si>
  <si>
    <t>NR-1PW-ME-POA-MRS-CO-1PW-SUBTERRÂNEO</t>
  </si>
  <si>
    <t>1PW</t>
  </si>
  <si>
    <t>RS-2509504MRS1.1.0070</t>
  </si>
  <si>
    <t>PMRDS&gt;RECON.1PW&gt;ETAPA 2</t>
  </si>
  <si>
    <t>RS-2509504MRS1.1.0071</t>
  </si>
  <si>
    <t>PMRDS&gt;RECON.1PW&gt;ETAPA 3</t>
  </si>
  <si>
    <t>RS-2509504MRS1.1.0014</t>
  </si>
  <si>
    <t>EFICAZ&gt;PMRDS&gt;REF.CT&gt;120/13</t>
  </si>
  <si>
    <t>CT&gt;120/13</t>
  </si>
  <si>
    <t>RS-2509504MRS1.1.0015</t>
  </si>
  <si>
    <t>EFICAZ&gt;PMRDS&gt;REF.CT&gt;110/9</t>
  </si>
  <si>
    <t>CT&gt;110/9</t>
  </si>
  <si>
    <t>RS-2509504MRS1.1.0016</t>
  </si>
  <si>
    <t>EFICAZ&gt;PMRDS&gt;REF.SPOT&gt;63486/7-GBOEX-7PW</t>
  </si>
  <si>
    <t>SPOT&gt;63486/7-GBOEX-7PW</t>
  </si>
  <si>
    <t>TR QUEIMADO + PROTETOR QUEIMADO</t>
  </si>
  <si>
    <t>RS-2509504MRS1.1.0017</t>
  </si>
  <si>
    <t>EFICAZ&gt;PMRDS&gt;REF.CT&gt;102/11A</t>
  </si>
  <si>
    <t>CT&gt;102/11A</t>
  </si>
  <si>
    <t>TR QUEIMADO + SEM PROTETOR</t>
  </si>
  <si>
    <t>RS-2509504MRS1.1.0018</t>
  </si>
  <si>
    <t>EFICAZ&gt;PMRDS&gt;REF.CT&gt;96/7B</t>
  </si>
  <si>
    <t>CT&gt;96/7B</t>
  </si>
  <si>
    <t>RS-2509504MRS1.1.0019</t>
  </si>
  <si>
    <t>EFICAZ&gt;PMRDS&gt;REF.CT&gt;95/11B</t>
  </si>
  <si>
    <t>EM PLANEJAMENTO</t>
  </si>
  <si>
    <t>CT&gt;95/11B</t>
  </si>
  <si>
    <t>TR QUEIMADO + PROTETOR BOM</t>
  </si>
  <si>
    <t>RS-2509504MRS1.1.0020</t>
  </si>
  <si>
    <t>EFICAZ&gt;PMRDS&gt;REF.CT&gt;111A/1</t>
  </si>
  <si>
    <t>CT&gt;111A/1</t>
  </si>
  <si>
    <t>TR VAZAMENTO GRANDE + NECESS</t>
  </si>
  <si>
    <t>RS-2509504MRS1.1.0021</t>
  </si>
  <si>
    <t>EFICAZ&gt;PMRDS&gt;REF.CT&gt;62/11B</t>
  </si>
  <si>
    <t>CT&gt;62/11B</t>
  </si>
  <si>
    <t>RS-2509504MRS1.1.0022</t>
  </si>
  <si>
    <t>EFICAZ&gt;PMRDS&gt;REF.CT&gt;86/1</t>
  </si>
  <si>
    <t>CT&gt;86/1</t>
  </si>
  <si>
    <t>TR SEM VAZAMENTO + PROTETOR QUEIMADO</t>
  </si>
  <si>
    <t>RS-2509504MRS1.1.0023</t>
  </si>
  <si>
    <t>EFICAZ&gt;PMRDS&gt;REF.CT&gt;33A/5</t>
  </si>
  <si>
    <t>CT&gt;33A/5</t>
  </si>
  <si>
    <t>TR COM BUCHA AVARIADA</t>
  </si>
  <si>
    <t>EFICAZ&gt;PMRDS&gt;REF.CT&gt;109/7</t>
  </si>
  <si>
    <t>CT&gt;109/7</t>
  </si>
  <si>
    <t>VERIF. SITUAÇÃO COM ANDRÉ</t>
  </si>
  <si>
    <t>EFICAZ&gt;PMRDS&gt;REF.CT&gt;90/3A4</t>
  </si>
  <si>
    <t>CT&gt;90/3A4</t>
  </si>
  <si>
    <t>PROJETO TERCEIROS</t>
  </si>
  <si>
    <t>RS-2509504MRS1.1.0004 - RS-2509504MRS1.1.0005</t>
  </si>
  <si>
    <t>PARADA DE ÔNIBUS - AV. BORGES DE MEDEIROS 1  E 2</t>
  </si>
  <si>
    <t xml:space="preserve">NR-202444864342793-CT-POA-MRS-CC-1007864343
202444864342793
</t>
  </si>
  <si>
    <t>ELETROMIDIA POA CONCESSIONARIA DE MOBILIARIO URBANO SPE S.A.</t>
  </si>
  <si>
    <t>Sem CRM</t>
  </si>
  <si>
    <t xml:space="preserve">NR-202444864863907-CT-POA-MRS-CC-1007865307
202444864863907
</t>
  </si>
  <si>
    <t>RS-2509504MRS1.1.0007</t>
  </si>
  <si>
    <t>PARADA DE ÔNIBUS - RUA DA CONCEIÇÃO 123 -*CANCELADO*</t>
  </si>
  <si>
    <t>NR-202444881339507-MRS-ELETROMIDIA POA-PORTO ALEGRE</t>
  </si>
  <si>
    <t>RS-2509504MRS1.1.0082</t>
  </si>
  <si>
    <t>PARADA DE ÔNIBUS - BORGES DE MEDEIROS 628</t>
  </si>
  <si>
    <t>NR-202445039147027 -ME-POA-MRS-CC-1013844018-ELETROMIDIA POA CONCESSIONARIA DE MOBILIARIO URBANO SPE S.A.</t>
  </si>
  <si>
    <t>SS está na etapa de Obras, PROENERGIA NÃO CRIOU PEP</t>
  </si>
  <si>
    <t>RS-2509504MRS1.1.0146</t>
  </si>
  <si>
    <t>PARADA DE ÔNIBUS</t>
  </si>
  <si>
    <t>NR-202445076997963-ME-POA-MRS-CC-1013844018-ELETROMIDIA POA CONCESSIONARIA DE MOBILIARIO URBANO SPE S.A.</t>
  </si>
  <si>
    <t>SS está na etapa de Obras, NÃO FEZ O PROJETO</t>
  </si>
  <si>
    <t>RS-2509504MRS1.1.0148</t>
  </si>
  <si>
    <t>NR-202445076968156-ME-POA-MRS-CC-1013844018-ELETROMIDIA POA CONCESSIONARIA DE MOBILIARIO URBANO SPE S.A.</t>
  </si>
  <si>
    <t>RS-2509504MRS1.1.0149</t>
  </si>
  <si>
    <t>NR-202445053553274-ME-POA-MRS-CC-1013844018-ELETROMIDIA POA CONCESSIONARIA DE MOBILIARIO URBANO SPE S.A.</t>
  </si>
  <si>
    <t>RS-2509504MRS1.1.0150</t>
  </si>
  <si>
    <t>NR-202445076985303-ME-POA-MRS-CC-1013844018-ELETROMIDIA POA CONCESSIONARIA DE MOBILIARIO URBANO SPE S.A.</t>
  </si>
  <si>
    <t>RS-2509504MRS1.1.0151</t>
  </si>
  <si>
    <t xml:space="preserve">NR-202444626072740-CT-POA-MRS-CC-1007830422
202444626072740
</t>
  </si>
  <si>
    <t>NR-202445292026273-ME-POA-MRS-CC-1013844018-ELETROMIDIA POA CONCESSIONARIA DE MOBILIARIO URBANO SPE S.A.</t>
  </si>
  <si>
    <t>Remoção / Deslocamento de poste - JUCA BATISTA</t>
  </si>
  <si>
    <t>NR-202445352484540-ME-POA-MRS-CC-7265053-MUNICIPIO DE PORTO ALEGRE-SUBTERRÂNEA</t>
  </si>
  <si>
    <t>MUNICIPIO DE PORTO ALEGRE</t>
  </si>
  <si>
    <t>Em avaliação pela área de normas</t>
  </si>
  <si>
    <t>RS-2509504MRS1.1.0152</t>
  </si>
  <si>
    <t>Orçamento</t>
  </si>
  <si>
    <t>NR-202445056569619-ME-POA-MRS-CC-1008002744-MUNICIPIO DE PORTO ALEGRE</t>
  </si>
  <si>
    <t>PROTETOR&gt;116/13</t>
  </si>
  <si>
    <t>Ligação nova</t>
  </si>
  <si>
    <t>NR-202545478369982-CT-POA-UNI-CC-1008187124-LEANDRO GOMES NIEHUES</t>
  </si>
  <si>
    <t>NR-202545564678675-CT-POA-UNI-CC-1008318130-MUNICIPIO DE PORTO ALEGRE - SUBTERRÂNEO</t>
  </si>
  <si>
    <t>Câmera</t>
  </si>
  <si>
    <t>ME-MRS-POA-OC-2025-75423</t>
  </si>
  <si>
    <t>Borges x Fernando Machado</t>
  </si>
  <si>
    <t>NR-PAL6-CA-POA-DIS-AL-SUBTERRÂNEO</t>
  </si>
  <si>
    <t>PAL6</t>
  </si>
  <si>
    <t>Rótulos de Linha</t>
  </si>
  <si>
    <t>Soma de TR</t>
  </si>
  <si>
    <t>1900-1</t>
  </si>
  <si>
    <t>2024-12</t>
  </si>
  <si>
    <t>2025-10</t>
  </si>
  <si>
    <t>2025-11</t>
  </si>
  <si>
    <t>2025-1</t>
  </si>
  <si>
    <t>2025-12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</si>
  <si>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</si>
  <si>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</si>
  <si>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</si>
  <si>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</si>
  <si>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</si>
  <si>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</si>
  <si>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</si>
  <si>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</si>
  <si>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Total Geral</t>
  </si>
  <si>
    <t>Soma de QTD CH SF6</t>
  </si>
  <si>
    <t>Soma de KM REDE</t>
  </si>
  <si>
    <t>SS</t>
  </si>
  <si>
    <t>CRM</t>
  </si>
  <si>
    <t>Prazo Limite (regulado)</t>
  </si>
  <si>
    <t>OBS</t>
  </si>
  <si>
    <t>NR-202445145568750-CT-POA-MRS-CC-1008076411-CARLOS ALEXANDRE RIBEIRO OLIVEIRA</t>
  </si>
  <si>
    <t>RS-2509504MRS1.1.0147</t>
  </si>
  <si>
    <t>CARLOS ALEXANDRE RIBEIRO OLIVEIRA</t>
  </si>
  <si>
    <t>ANÁLISE DE PROJETOS</t>
  </si>
  <si>
    <t>CONCLUÍDO</t>
  </si>
  <si>
    <t>Orçamento EMUC</t>
  </si>
  <si>
    <t> QUINTAS DE SANTANNA INCORPORAÇÕES E CONSTRUÇÕES SPE LTDA</t>
  </si>
  <si>
    <t>Projeto EMUC</t>
  </si>
  <si>
    <t>Orçamento de conexão EMUC</t>
  </si>
  <si>
    <t>202344460673737 </t>
  </si>
  <si>
    <t>Abaco Brasil</t>
  </si>
  <si>
    <t>ABACOBRASIL URBANIZADORA DE OBRAS LTDA</t>
  </si>
  <si>
    <t>Projeto EMUC BT</t>
  </si>
  <si>
    <t>ANGELA MARIA SIMONIS</t>
  </si>
  <si>
    <t>Orçamento EMUC BT</t>
  </si>
  <si>
    <t>202445285018885 </t>
  </si>
  <si>
    <t>ASSOCIACAO DOS DELEGADOS DE POLICIA DO RGS</t>
  </si>
  <si>
    <t>MAURO ZAMBIASI</t>
  </si>
  <si>
    <t>Projeto Subestação Particular</t>
  </si>
  <si>
    <t>RIO GRANDE DO SUL TRIBUNAL DE CONTAS DO ESTADO</t>
  </si>
  <si>
    <t>Novo CRM ainda não analisado: 1137364</t>
  </si>
  <si>
    <t>SPE Prime Beach</t>
  </si>
  <si>
    <t>Remoção / Deslocamento de poste</t>
  </si>
  <si>
    <t>CONCESSIONARIA DAS RODOVIAS INTEGRADAS DO SUL S.A.</t>
  </si>
  <si>
    <t>SS concluída no aceite</t>
  </si>
  <si>
    <t>Projeto rede aérea</t>
  </si>
  <si>
    <t>Sem SS</t>
  </si>
  <si>
    <t>NR-ABILIO-PAL13-CA-POA-DIS-BA-PAL13</t>
  </si>
  <si>
    <t>PAL 13 - SAÍDA DOS ALIMENTADORES SUBTERRÂNEOS</t>
  </si>
  <si>
    <t>Concluido</t>
  </si>
  <si>
    <t>Novo CRM ainda não analisado: 1137363</t>
  </si>
  <si>
    <t>NR-202445357917396-ME-POA-MRS-CC-6301951-INSTITUTO RELIGIOSO BARBARA MAIX-IRBM</t>
  </si>
  <si>
    <t>INSTITUTO RELIGIOSO BARBARA MAIX- IRBM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</si>
</sst>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scheme val="minor"/>
    </font>
    <font>
      <sz val="11"/>
      <color rgb="FF242424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19" formatCode="dd/mm/yyyy"/>
    </dxf>
    <dxf>
      <numFmt numFmtId="164" formatCode="yyyy\-mm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atorial" refreshedDate="45784.394800925926" createdVersion="5" refreshedVersion="5" minRefreshableVersion="3" recordCount="63" xr:uid="{00000000-000A-0000-FFFF-FFFF0F000000}">
  <cacheSource type="worksheet">
    <worksheetSource name="Tabela3"/>
  </cacheSource>
  <cacheFields count="16">
    <cacheField name="Tipo de demanda" numFmtId="0">
      <sharedItems containsBlank="1"/>
    </cacheField>
    <cacheField name="STATUS" numFmtId="0">
      <sharedItems containsBlank="1"/>
    </cacheField>
    <cacheField name="PEP" numFmtId="0">
      <sharedItems containsBlank="1"/>
    </cacheField>
    <cacheField name="DESCRIÇÃO" numFmtId="0">
      <sharedItems containsBlank="1"/>
    </cacheField>
    <cacheField name="Nota SISGB" numFmtId="0">
      <sharedItems containsBlank="1"/>
    </cacheField>
    <cacheField name="PRAZO" numFmtId="14">
      <sharedItems containsNonDate="0" containsDate="1" containsString="0" containsBlank="1" minDate="2024-12-04T00:00:00" maxDate="2025-12-31T00:00:00"/>
    </cacheField>
    <cacheField name="Endereço" numFmtId="0">
      <sharedItems containsBlank="1"/>
    </cacheField>
    <cacheField name="Cliente" numFmtId="0">
      <sharedItems containsBlank="1"/>
    </cacheField>
    <cacheField name="KM REDE" numFmtId="0">
      <sharedItems containsString="0" containsBlank="1" containsNumber="1" containsInteger="1" minValue="611" maxValue="1518"/>
    </cacheField>
    <cacheField name="QTD CH SF6" numFmtId="0">
      <sharedItems containsString="0" containsBlank="1" containsNumber="1" containsInteger="1" minValue="2" maxValue="10"/>
    </cacheField>
    <cacheField name="QTD DJ" numFmtId="0">
      <sharedItems containsString="0" containsBlank="1" containsNumber="1" containsInteger="1" minValue="1" maxValue="1"/>
    </cacheField>
    <cacheField name="TR" numFmtId="0">
      <sharedItems containsString="0" containsBlank="1" containsNumber="1" containsInteger="1" minValue="1" maxValue="1"/>
    </cacheField>
    <cacheField name="Local" numFmtId="0">
      <sharedItems containsBlank="1"/>
    </cacheField>
    <cacheField name="Mês" numFmtId="0">
      <sharedItems count="17">
        <s v="2025-6"/>
        <s v="2025-7"/>
        <s v="2025-10"/>
        <s v="2025-9"/>
        <s v="2025-12"/>
        <s v="2025-11"/>
        <s v="2025-8"/>
        <s v="2025-4"/>
        <s v="2025-5"/>
        <s v="2025-1"/>
        <s v="2025-2"/>
        <s v="2025-3"/>
        <s v="1900-1"/>
        <s v="2024-12"/>
        <s v="2025-01" u="1"/>
        <s v="2024-01" u="1"/>
        <s v="1900-01" u="1"/>
      </sharedItems>
    </cacheField>
    <cacheField name="Obs" numFmtId="0">
      <sharedItems containsBlank="1" containsMixedTypes="1" containsNumber="1" containsInteger="1" minValue="202444626072740" maxValue="202445352484540"/>
    </cacheField>
    <cacheField name="OB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s v="PROJETO PMRDS"/>
    <s v="EM OBRAS"/>
    <s v="RS-2509504MRS1.1.0104"/>
    <s v="PMRDS&gt;CHAVES_SF6&gt;53447-1_PÇA RIO BRANCO"/>
    <s v="NR-CAM53447-ME-POA-MRS-CO-PÇA RIO BRANCO-SUBTERRÂNEA"/>
    <d v="2025-06-30T00:00:00"/>
    <s v="Praça Rio Branco"/>
    <s v="EQUATORIAL"/>
    <m/>
    <n v="8"/>
    <m/>
    <m/>
    <s v="Câmara Rio Branco"/>
    <x v="0"/>
    <s v="Plano manutenção"/>
    <m/>
  </r>
  <r>
    <s v="PROJETO PMRDS"/>
    <s v="EM OBRAS"/>
    <s v="RS-2509504MRS1.1.0105"/>
    <s v="PMRDS&gt;CHAVES_SF6&gt;50020-1_SULACAP"/>
    <s v="NR-CAM50020-ME-POA-MRS-CO-SULACAP-SUBTERRÂNEA"/>
    <d v="2025-07-31T00:00:00"/>
    <s v="Av. Borges de Medeiros, 410"/>
    <s v="EQUATORIAL"/>
    <m/>
    <n v="8"/>
    <n v="1"/>
    <m/>
    <s v="Edifício Sulacap"/>
    <x v="1"/>
    <s v="Plano manutenção"/>
    <m/>
  </r>
  <r>
    <s v="PROJETO PMRDS"/>
    <s v="EM PROJETO"/>
    <s v="RS-2509504MRS1.1.0106"/>
    <s v="PMRDS&gt;CHAVES_SF6&gt;56085-5_FORMAC"/>
    <s v="NR-SUBTERRÂNEO-ME-POA-MRS-CO-56085/5-FORMAC"/>
    <d v="2025-10-30T00:00:00"/>
    <s v="Rua 7 de Setembro, 1133"/>
    <s v="EQUATORIAL"/>
    <m/>
    <n v="2"/>
    <n v="1"/>
    <m/>
    <s v="FORMAC"/>
    <x v="2"/>
    <s v="Plano manutenção"/>
    <s v="NR-SUBTERRÂNEO-ME-POA-MRS-CO-CAM53007/7-PROCURADORIA REGION. DA UNIÃO"/>
  </r>
  <r>
    <s v="PROJETO PMRDS"/>
    <s v="EM PROJETO"/>
    <s v="RS-2509504MRS1.1.0107"/>
    <s v="PMRDS&gt;CHAVES_SF6&gt;56102-9_GALERIA ROSÁRIO"/>
    <s v="NR-SUBTERRÂNEO-ME-POA-MRS-CO-CAM56102/9-GALERIA ROSÁRIO"/>
    <d v="2025-09-30T00:00:00"/>
    <s v="Rua Marechal Floriano Peixoto, 38"/>
    <s v="EQUATORIAL"/>
    <m/>
    <n v="2"/>
    <n v="1"/>
    <m/>
    <s v="Galeria Rosário"/>
    <x v="3"/>
    <s v="Plano manutenção"/>
    <m/>
  </r>
  <r>
    <s v="PROJETO PMRDS"/>
    <s v="EM PROJETO"/>
    <s v="RS-2509504MRS1.1.0108"/>
    <s v="PMRDS&gt;CHAVES_SF6&gt;56187-8_EDIFÍCIO NAUTIL"/>
    <s v="NR-SUBTERRÂNEO-ME-POA-MRS-CO-CAM56187/8-EDIFÍCIO NAUTILUS"/>
    <d v="2025-09-30T00:00:00"/>
    <s v="Rua Vigário José Inácio, 295"/>
    <s v="EQUATORIAL"/>
    <m/>
    <n v="2"/>
    <n v="1"/>
    <m/>
    <s v="Edifício Nautilus"/>
    <x v="3"/>
    <s v="Plano manutenção"/>
    <m/>
  </r>
  <r>
    <s v="PROJETO PMRDS"/>
    <s v="EM PROJETO"/>
    <s v="RS-2509504MRS1.1.0109"/>
    <s v="PMRDS&gt;CHAVES_SF6&gt;56283-1_EDIFÍCIO NOVA Y"/>
    <s v="NR-SUBTERRÂNEO-ME-POA-MRS-CO-CAM56283/1-EDIFÍCIO NOVA YORK"/>
    <d v="2025-09-30T00:00:00"/>
    <s v="Av. Salgado Filho, 257"/>
    <s v="EQUATORIAL"/>
    <m/>
    <n v="2"/>
    <n v="1"/>
    <m/>
    <s v="Edifício Nova York"/>
    <x v="3"/>
    <s v="Plano manutenção"/>
    <m/>
  </r>
  <r>
    <s v="PROJETO PMRDS"/>
    <s v="EM PROJETO"/>
    <s v="RS-2509504MRS1.1.0110"/>
    <s v="PMRDS&gt;CHAVES_SF6&gt;56137-1_EDIFÍCIO COSTA"/>
    <s v="NR-SUBTERRÂNEO-ME-POA-MRS-CO-CAM56137/1-EDIFÍCIO COSTA FARIA"/>
    <d v="2025-09-30T00:00:00"/>
    <s v="Av. Salgado Filho, 327"/>
    <s v="EQUATORIAL"/>
    <m/>
    <n v="2"/>
    <n v="1"/>
    <m/>
    <s v="Edifício Costa Faria"/>
    <x v="3"/>
    <s v="Plano manutenção"/>
    <m/>
  </r>
  <r>
    <s v="PROJETO PMRDS"/>
    <s v="EM PROJETO"/>
    <s v="RS-2509504MRS1.1.0111"/>
    <s v="PMRDS&gt;CHAVES_SF6&gt;53224/0-EDIFÍCIO IPASE"/>
    <s v="NR-SUBTERRÂNEO-ME-POA-MRS-CO-CAM53224/0-EDIFÍCIO IPASE"/>
    <d v="2025-12-30T00:00:00"/>
    <s v="Trv. Mário Cinco Paus, 20"/>
    <s v="EQUATORIAL"/>
    <m/>
    <n v="2"/>
    <n v="1"/>
    <m/>
    <s v="Edificio IPASE"/>
    <x v="4"/>
    <s v="Plano manutenção"/>
    <s v="Edifício Palácio Itália"/>
  </r>
  <r>
    <s v="PROJETO PMRDS"/>
    <s v="EM PROJETO"/>
    <s v="RS-2509504MRS1.1.0112"/>
    <s v="PMRDS&gt;CHAVES_SF6&gt;56434/6-EDIFÍCIO CATEDR"/>
    <s v="NR-SUBTERRÂNEO-ME-POA-MRS-CO-CAM56434/6-EDIFÍCIO CATEDRAL"/>
    <d v="2025-12-30T00:00:00"/>
    <s v="Rua Duque de Caxias, 1208"/>
    <s v="EQUATORIAL"/>
    <m/>
    <n v="2"/>
    <n v="1"/>
    <m/>
    <s v="Edifício Catedral"/>
    <x v="4"/>
    <s v="Plano manutenção"/>
    <s v="NR-SUBTERRÂNEO-ME-POA-MRS-CO-CAM56259/9-PLAZINHA (PÇA OTAVIO ROCHA)"/>
  </r>
  <r>
    <s v="PROJETO PMRDS"/>
    <s v="EM PROJETO"/>
    <s v="RS-2509504MRS1.1.0113"/>
    <s v="PMRDS&gt;CHAVES_SF6&gt;53435-8_TEVAH"/>
    <s v="NR-SUBTERRÂNEO-ME-POA-MRS-CO-CAM53435/8-TEVAH"/>
    <d v="2025-10-30T00:00:00"/>
    <s v="Av. Alberto Bins, 374"/>
    <s v="EQUATORIAL"/>
    <m/>
    <n v="2"/>
    <n v="1"/>
    <m/>
    <s v="Tevah"/>
    <x v="2"/>
    <s v="Plano manutenção"/>
    <m/>
  </r>
  <r>
    <s v="PROJETO PMRDS"/>
    <s v="EM PROJETO"/>
    <s v="RS-2509504MRS1.1.0114"/>
    <s v="PMRDS&gt;CHAVES_SF6&gt;56051-1_EDIFÍCIO MARKET"/>
    <s v="NR-SUBTERRÂNEO-ME-POA-MRS-CO-CAM56051/1-EDIFÍCIO MARKET CENTER"/>
    <d v="2025-10-30T00:00:00"/>
    <s v="Av. Alberto Bins, 658"/>
    <s v="EQUATORIAL"/>
    <m/>
    <n v="2"/>
    <n v="1"/>
    <m/>
    <s v="Edifício Market Center"/>
    <x v="2"/>
    <s v="Plano manutenção"/>
    <m/>
  </r>
  <r>
    <s v="PROJETO PMRDS"/>
    <s v="EM PROJETO"/>
    <s v="RS-2509504MRS1.1.0115"/>
    <s v="PMRDS&gt;CHAVES_SF6&gt;56439/7-EDIFÍCIO DOM FE"/>
    <s v="NR-SUBTERRÂNEO-ME-POA-MRS-CO-CAM56439/7-EDIFÍCIO DOM FELIPE"/>
    <d v="2025-11-30T00:00:00"/>
    <s v="Rua Duque de Caxias, 1304"/>
    <s v="EQUATORIAL"/>
    <m/>
    <n v="2"/>
    <n v="1"/>
    <m/>
    <s v="Edifício Dom Felipe"/>
    <x v="5"/>
    <s v="Plano manutenção"/>
    <s v="NR-SUBTERRÂNEO-ME-POA-MRS-CO-CAM53498/6-SESC"/>
  </r>
  <r>
    <s v="PROJETO PMRDS"/>
    <s v="EM PROJETO"/>
    <s v="RS-2509504MRS1.1.0116"/>
    <s v="PMRDS&gt;CHAVES_SF6&gt;56375-7_FUND BANRISUL"/>
    <s v="NR-SUBTERRÂNEO-ME-POA-MRS-CO-CAM56375/7-FUND BANRISUL"/>
    <d v="2025-11-30T00:00:00"/>
    <s v="Rua 7 de Setembro, 760"/>
    <s v="EQUATORIAL"/>
    <m/>
    <n v="2"/>
    <n v="1"/>
    <m/>
    <s v="Fund Banrisul"/>
    <x v="5"/>
    <s v="Plano manutenção"/>
    <m/>
  </r>
  <r>
    <s v="PROJETO PMRDS"/>
    <s v="EM PROJETO"/>
    <s v="RS-2509504MRS1.1.0117"/>
    <s v="PMRDS&gt;CHAVES_SF6&gt;50367-3_ED.CALIFORNIA"/>
    <s v="NR-SUBTERRÂNEO-ME-POA-MRS-CO-CAM50367/3-ED.CALIFORNIA"/>
    <d v="2025-11-30T00:00:00"/>
    <s v="Rua Duque de Caxias, 741"/>
    <s v="EQUATORIAL"/>
    <m/>
    <n v="2"/>
    <n v="1"/>
    <m/>
    <s v="California"/>
    <x v="5"/>
    <s v="Plano manutenção"/>
    <m/>
  </r>
  <r>
    <s v="PROJETO PMRDS"/>
    <s v="EM PROJETO"/>
    <s v="RS-2509504MRS1.1.0118"/>
    <s v="PMRDS&gt;CHAVES_SF6&gt;50005-4_DOM.FELICIANO"/>
    <s v="NR-SUBTERRÂNEO-ME-POA-MRS-CO-CAM50005/4-DOM.FELICIANO"/>
    <d v="2025-08-30T00:00:00"/>
    <s v="Praça Dom Feliciano"/>
    <s v="EQUATORIAL"/>
    <m/>
    <n v="10"/>
    <m/>
    <m/>
    <s v="Câmara Dom Feliciano"/>
    <x v="6"/>
    <s v="Plano manutenção"/>
    <m/>
  </r>
  <r>
    <s v="PROJETO PMRDS"/>
    <s v="EM OBRAS"/>
    <s v="RS-2509504MRS1.1.0088"/>
    <s v="PMRDS&gt;RECON.1PL&gt;ETAPA 1"/>
    <s v="EM OBRAS"/>
    <d v="2025-04-15T00:00:00"/>
    <m/>
    <s v="EQUATORIAL"/>
    <n v="957"/>
    <m/>
    <m/>
    <m/>
    <s v="1PL"/>
    <x v="7"/>
    <s v="Plano manutenção"/>
    <m/>
  </r>
  <r>
    <s v="PROJETO PMRDS"/>
    <s v="EM OBRAS"/>
    <s v="RS-2509504MRS1.1.0089"/>
    <s v="PMRDS&gt;RECON.1PL&gt;ETAPA 2"/>
    <s v="EM OBRAS"/>
    <d v="2025-04-15T00:00:00"/>
    <m/>
    <s v="EQUATORIAL"/>
    <n v="980"/>
    <m/>
    <m/>
    <m/>
    <s v="1PL"/>
    <x v="7"/>
    <s v="Plano manutenção"/>
    <m/>
  </r>
  <r>
    <s v="PROJETO PMRDS"/>
    <s v="EM OBRAS"/>
    <s v="RS-2509504MRS1.1.0090"/>
    <s v="PMRDS&gt;RECON.4PW&gt;ETAPA 1"/>
    <s v="EM OBRAS"/>
    <d v="2025-04-30T00:00:00"/>
    <m/>
    <s v="EQUATORIAL"/>
    <n v="1026"/>
    <m/>
    <m/>
    <m/>
    <s v="4PW"/>
    <x v="7"/>
    <s v="Plano manutenção"/>
    <m/>
  </r>
  <r>
    <s v="PROJETO PMRDS"/>
    <s v="EM OBRAS"/>
    <s v="RS-2509504MRS1.1.0091"/>
    <s v="PMRDS&gt;RECON.4PW&gt;ETAPA 2"/>
    <s v="EM OBRAS"/>
    <d v="2025-05-15T00:00:00"/>
    <m/>
    <s v="EQUATORIAL"/>
    <n v="779"/>
    <m/>
    <m/>
    <m/>
    <s v="4PW"/>
    <x v="8"/>
    <s v="Plano manutenção"/>
    <m/>
  </r>
  <r>
    <s v="PROJETO PMRDS"/>
    <s v="EM OBRAS"/>
    <s v="RS-2509504MRS1.1.0092"/>
    <s v="PMRDS&gt;RECON.4PW&gt;ETAPA 3"/>
    <s v="EM OBRAS"/>
    <d v="2025-05-30T00:00:00"/>
    <m/>
    <s v="EQUATORIAL"/>
    <n v="907"/>
    <m/>
    <m/>
    <m/>
    <s v="4PW"/>
    <x v="8"/>
    <s v="Plano manutenção"/>
    <m/>
  </r>
  <r>
    <s v="PROJETO PMRDS"/>
    <s v="EM OBRAS"/>
    <s v="RS-2509504MRS1.1.0093"/>
    <s v="PMRDS&gt;RECON.4PW&gt;ETAPA 4"/>
    <s v="EM OBRAS"/>
    <d v="2025-06-14T00:00:00"/>
    <m/>
    <s v="EQUATORIAL"/>
    <n v="611"/>
    <m/>
    <m/>
    <m/>
    <s v="4PW"/>
    <x v="0"/>
    <s v="Plano manutenção"/>
    <m/>
  </r>
  <r>
    <s v="PROJETO PMRDS"/>
    <s v="EM OBRAS"/>
    <s v="RS-2509504MRS1.1.0094"/>
    <s v="PMRDS&gt;RECON.4PW&gt;ETAPA 5"/>
    <s v="EM OBRAS"/>
    <d v="2025-06-29T00:00:00"/>
    <m/>
    <s v="EQUATORIAL"/>
    <n v="873"/>
    <m/>
    <m/>
    <m/>
    <s v="4PW"/>
    <x v="0"/>
    <s v="Plano manutenção"/>
    <m/>
  </r>
  <r>
    <s v="PROJETO PMRDS"/>
    <s v="EM PLANEJAMENTO"/>
    <s v="RS-2509504MRS1.1.0095"/>
    <s v="PMRDS&gt;RECON.5RNE&gt;ETAPA 1"/>
    <s v="PENDENTE DE ENVIO"/>
    <d v="2025-09-01T00:00:00"/>
    <m/>
    <s v="EQUATORIAL"/>
    <n v="1518"/>
    <m/>
    <m/>
    <m/>
    <s v="5RNE"/>
    <x v="3"/>
    <s v="Plano manutenção"/>
    <m/>
  </r>
  <r>
    <s v="PROJETO PMRDS"/>
    <s v="EM PLANEJAMENTO"/>
    <s v="RS-2509504MRS1.1.0096"/>
    <s v="PMRDS&gt;RECON.5RNE&gt;ETAPA 2"/>
    <s v="PENDENTE DE ENVIO"/>
    <d v="2025-09-01T00:00:00"/>
    <m/>
    <s v="EQUATORIAL"/>
    <n v="1322"/>
    <m/>
    <m/>
    <m/>
    <s v="5RNE"/>
    <x v="3"/>
    <s v="Plano manutenção"/>
    <m/>
  </r>
  <r>
    <s v="PROJETO PMRDS"/>
    <s v="EM PLANEJAMENTO"/>
    <s v="RS-2509504MRS1.1.0097"/>
    <s v="PMRDS&gt;RECON.5RNE&gt;ETAPA 3"/>
    <s v="PENDENTE DE ENVIO"/>
    <d v="2025-10-01T00:00:00"/>
    <m/>
    <s v="EQUATORIAL"/>
    <n v="1110"/>
    <m/>
    <m/>
    <m/>
    <s v="5RNE"/>
    <x v="2"/>
    <s v="Plano manutenção"/>
    <m/>
  </r>
  <r>
    <s v="PROJETO PMRDS"/>
    <s v="EM PLANEJAMENTO"/>
    <s v="RS-2509504MRS1.1.0098"/>
    <s v="PMRDS&gt;RECON.5RNE&gt;ETAPA 4"/>
    <s v="PENDENTE DE ENVIO"/>
    <d v="2025-10-01T00:00:00"/>
    <m/>
    <s v="EQUATORIAL"/>
    <n v="1100"/>
    <m/>
    <m/>
    <m/>
    <s v="5RNE"/>
    <x v="2"/>
    <s v="Plano manutenção"/>
    <m/>
  </r>
  <r>
    <s v="PROJETO PMRDS"/>
    <s v="EM PLANEJAMENTO"/>
    <s v="RS-2509504MRS1.1.0099"/>
    <s v="PMRDS&gt;RECON.5RNE&gt;ETAPA 5"/>
    <s v="PENDENTE DE ENVIO"/>
    <d v="2025-09-12T00:00:00"/>
    <m/>
    <s v="EQUATORIAL"/>
    <m/>
    <m/>
    <m/>
    <m/>
    <s v="5RNE"/>
    <x v="3"/>
    <s v="Plano manutenção"/>
    <m/>
  </r>
  <r>
    <s v="PROJETO PMRDS"/>
    <s v="EM PLANEJAMENTO"/>
    <s v="RS-2509504MRS1.1.0100"/>
    <s v="PMRDS&gt;RECON.2RW&gt;ETAPA 1"/>
    <s v="PENDENTE DE ENVIO"/>
    <d v="2025-11-01T00:00:00"/>
    <m/>
    <s v="EQUATORIAL"/>
    <n v="1110"/>
    <m/>
    <m/>
    <m/>
    <s v="2RW"/>
    <x v="5"/>
    <s v="Plano manutenção"/>
    <m/>
  </r>
  <r>
    <s v="PROJETO PMRDS"/>
    <s v="EM PLANEJAMENTO"/>
    <s v="RS-2509504MRS1.1.0101"/>
    <s v="PMRDS&gt;RECON.2RW&gt;ETAPA 2"/>
    <s v="PENDENTE DE ENVIO"/>
    <d v="2025-11-01T00:00:00"/>
    <m/>
    <s v="EQUATORIAL"/>
    <n v="1158"/>
    <m/>
    <m/>
    <m/>
    <s v="2RW"/>
    <x v="5"/>
    <s v="Plano manutenção"/>
    <m/>
  </r>
  <r>
    <s v="PROJETO PMRDS"/>
    <s v="EM PLANEJAMENTO"/>
    <s v="RS-2509504MRS1.1.0102"/>
    <s v="PMRDS&gt;RECON.2RW&gt;ETAPA 3"/>
    <s v="PENDENTE DE ENVIO"/>
    <d v="2025-12-01T00:00:00"/>
    <m/>
    <s v="EQUATORIAL"/>
    <n v="1061"/>
    <m/>
    <m/>
    <m/>
    <s v="2RW"/>
    <x v="4"/>
    <s v="Plano manutenção"/>
    <m/>
  </r>
  <r>
    <s v="PROJETO PMRDS"/>
    <s v="EM PLANEJAMENTO"/>
    <s v="RS-2509504MRS1.1.0103"/>
    <s v="PMRDS&gt;RECON.2RW&gt;ETAPA 4"/>
    <s v="PENDENTE DE ENVIO"/>
    <d v="2025-12-01T00:00:00"/>
    <m/>
    <s v="EQUATORIAL"/>
    <n v="1164"/>
    <m/>
    <m/>
    <m/>
    <s v="2RW"/>
    <x v="4"/>
    <s v="Plano manutenção"/>
    <m/>
  </r>
  <r>
    <s v="PROJETO PMRDS"/>
    <s v="EM OBRAS"/>
    <s v="RS-2509504MRS1.1.0069"/>
    <s v="PMRDS&gt;RECON.1PW&gt;ETAPA 1"/>
    <s v="NR-1PW-ME-POA-MRS-CO-1PW-SUBTERRÂNEO"/>
    <d v="2025-06-01T00:00:00"/>
    <m/>
    <s v="EQUATORIAL"/>
    <n v="1370"/>
    <m/>
    <m/>
    <m/>
    <s v="1PW"/>
    <x v="0"/>
    <s v="Plano manutenção"/>
    <m/>
  </r>
  <r>
    <s v="PROJETO PMRDS"/>
    <s v="EM OBRAS"/>
    <s v="RS-2509504MRS1.1.0070"/>
    <s v="PMRDS&gt;RECON.1PW&gt;ETAPA 2"/>
    <s v="NR-1PW-ME-POA-MRS-CO-1PW-SUBTERRÂNEO"/>
    <d v="2025-07-01T00:00:00"/>
    <m/>
    <s v="EQUATORIAL"/>
    <n v="1027"/>
    <m/>
    <m/>
    <m/>
    <s v="1PW"/>
    <x v="1"/>
    <s v="Plano manutenção"/>
    <m/>
  </r>
  <r>
    <s v="PROJETO PMRDS"/>
    <s v="EM OBRAS"/>
    <s v="RS-2509504MRS1.1.0071"/>
    <s v="PMRDS&gt;RECON.1PW&gt;ETAPA 3"/>
    <s v="NR-1PW-ME-POA-MRS-CO-1PW-SUBTERRÂNEO"/>
    <d v="2025-08-01T00:00:00"/>
    <m/>
    <s v="EQUATORIAL"/>
    <n v="1261"/>
    <m/>
    <m/>
    <m/>
    <s v="1PW"/>
    <x v="6"/>
    <s v="Plano manutenção"/>
    <m/>
  </r>
  <r>
    <s v="PROJETO PMRDS"/>
    <s v="EM OBRAS"/>
    <s v="RS-2509504MRS1.1.0014"/>
    <s v="EFICAZ&gt;PMRDS&gt;REF.CT&gt;120/13"/>
    <s v="EM OBRAS"/>
    <d v="2025-01-01T00:00:00"/>
    <m/>
    <s v="EQUATORIAL"/>
    <m/>
    <m/>
    <m/>
    <n v="1"/>
    <s v="CT&gt;120/13"/>
    <x v="9"/>
    <m/>
    <m/>
  </r>
  <r>
    <s v="PROJETO PMRDS"/>
    <s v="EM OBRAS"/>
    <s v="RS-2509504MRS1.1.0015"/>
    <s v="EFICAZ&gt;PMRDS&gt;REF.CT&gt;110/9"/>
    <s v="EM OBRAS"/>
    <d v="2025-02-02T00:00:00"/>
    <m/>
    <s v="EQUATORIAL"/>
    <m/>
    <m/>
    <m/>
    <n v="1"/>
    <s v="CT&gt;110/9"/>
    <x v="10"/>
    <m/>
    <m/>
  </r>
  <r>
    <s v="PROJETO PMRDS"/>
    <s v="EM OBRAS"/>
    <s v="RS-2509504MRS1.1.0016"/>
    <s v="EFICAZ&gt;PMRDS&gt;REF.SPOT&gt;63486/7-GBOEX-7PW"/>
    <s v="EM OBRAS"/>
    <d v="2025-03-14T00:00:00"/>
    <m/>
    <s v="EQUATORIAL"/>
    <m/>
    <m/>
    <m/>
    <n v="1"/>
    <s v="SPOT&gt;63486/7-GBOEX-7PW"/>
    <x v="11"/>
    <s v="TR QUEIMADO + PROTETOR QUEIMADO"/>
    <m/>
  </r>
  <r>
    <s v="PROJETO PMRDS"/>
    <s v="EM OBRAS"/>
    <s v="RS-2509504MRS1.1.0017"/>
    <s v="EFICAZ&gt;PMRDS&gt;REF.CT&gt;102/11A"/>
    <s v="EM OBRAS"/>
    <d v="2025-04-15T00:00:00"/>
    <m/>
    <s v="EQUATORIAL"/>
    <m/>
    <m/>
    <m/>
    <n v="1"/>
    <s v="CT&gt;102/11A"/>
    <x v="7"/>
    <s v="TR QUEIMADO + SEM PROTETOR"/>
    <m/>
  </r>
  <r>
    <s v="PROJETO PMRDS"/>
    <s v="EM OBRAS"/>
    <s v="RS-2509504MRS1.1.0018"/>
    <s v="EFICAZ&gt;PMRDS&gt;REF.CT&gt;96/7B"/>
    <s v="EM OBRAS"/>
    <d v="2025-05-21T00:00:00"/>
    <m/>
    <s v="EQUATORIAL"/>
    <m/>
    <m/>
    <m/>
    <n v="1"/>
    <s v="CT&gt;96/7B"/>
    <x v="8"/>
    <s v="TR QUEIMADO + PROTETOR QUEIMADO"/>
    <m/>
  </r>
  <r>
    <s v="PROJETO PMRDS"/>
    <s v="EM OBRAS"/>
    <s v="RS-2509504MRS1.1.0019"/>
    <s v="EFICAZ&gt;PMRDS&gt;REF.CT&gt;95/11B"/>
    <s v="EM PLANEJAMENTO"/>
    <d v="2025-08-01T00:00:00"/>
    <m/>
    <s v="EQUATORIAL"/>
    <m/>
    <m/>
    <m/>
    <n v="1"/>
    <s v="CT&gt;95/11B"/>
    <x v="6"/>
    <s v="TR QUEIMADO + PROTETOR BOM"/>
    <m/>
  </r>
  <r>
    <s v="PROJETO PMRDS"/>
    <s v="EM OBRAS"/>
    <s v="RS-2509504MRS1.1.0020"/>
    <s v="EFICAZ&gt;PMRDS&gt;REF.CT&gt;111A/1"/>
    <s v="EM PLANEJAMENTO"/>
    <d v="2025-09-01T00:00:00"/>
    <m/>
    <s v="EQUATORIAL"/>
    <m/>
    <m/>
    <m/>
    <n v="1"/>
    <s v="CT&gt;111A/1"/>
    <x v="3"/>
    <s v="TR VAZAMENTO GRANDE + NECESS"/>
    <m/>
  </r>
  <r>
    <s v="PROJETO PMRDS"/>
    <s v="EM OBRAS"/>
    <s v="RS-2509504MRS1.1.0021"/>
    <s v="EFICAZ&gt;PMRDS&gt;REF.CT&gt;62/11B"/>
    <s v="EM PLANEJAMENTO"/>
    <d v="2025-10-01T00:00:00"/>
    <m/>
    <s v="EQUATORIAL"/>
    <m/>
    <m/>
    <m/>
    <n v="1"/>
    <s v="CT&gt;62/11B"/>
    <x v="2"/>
    <s v="TR QUEIMADO + PROTETOR BOM"/>
    <m/>
  </r>
  <r>
    <s v="PROJETO PMRDS"/>
    <s v="EM OBRAS"/>
    <s v="RS-2509504MRS1.1.0022"/>
    <s v="EFICAZ&gt;PMRDS&gt;REF.CT&gt;86/1"/>
    <s v="EM PLANEJAMENTO"/>
    <d v="2025-11-01T00:00:00"/>
    <m/>
    <s v="EQUATORIAL"/>
    <m/>
    <m/>
    <m/>
    <n v="1"/>
    <s v="CT&gt;86/1"/>
    <x v="5"/>
    <s v="TR SEM VAZAMENTO + PROTETOR QUEIMADO"/>
    <m/>
  </r>
  <r>
    <s v="PROJETO PMRDS"/>
    <s v="EM OBRAS"/>
    <s v="RS-2509504MRS1.1.0023"/>
    <s v="EFICAZ&gt;PMRDS&gt;REF.CT&gt;33A/5"/>
    <s v="EM PLANEJAMENTO"/>
    <d v="2025-12-01T00:00:00"/>
    <m/>
    <s v="EQUATORIAL"/>
    <m/>
    <m/>
    <m/>
    <n v="1"/>
    <s v="CT&gt;33A/5"/>
    <x v="4"/>
    <s v="TR COM BUCHA AVARIADA"/>
    <m/>
  </r>
  <r>
    <m/>
    <m/>
    <m/>
    <s v="EFICAZ&gt;PMRDS&gt;REF.CT&gt;109/7"/>
    <m/>
    <m/>
    <m/>
    <m/>
    <m/>
    <m/>
    <m/>
    <m/>
    <s v="CT&gt;109/7"/>
    <x v="12"/>
    <s v="VERIF. SITUAÇÃO COM ANDRÉ"/>
    <m/>
  </r>
  <r>
    <m/>
    <m/>
    <m/>
    <s v="EFICAZ&gt;PMRDS&gt;REF.CT&gt;90/3A4"/>
    <m/>
    <m/>
    <m/>
    <m/>
    <m/>
    <m/>
    <m/>
    <m/>
    <s v="CT&gt;90/3A4"/>
    <x v="12"/>
    <s v="VERIF. SITUAÇÃO COM ANDRÉ"/>
    <m/>
  </r>
  <r>
    <s v="PROJETO TERCEIROS"/>
    <s v="EM PROJETO"/>
    <s v="RS-2509504MRS1.1.0004 - RS-2509504MRS1.1.0005"/>
    <s v="PARADA DE ÔNIBUS - AV. BORGES DE MEDEIROS 1  E 2"/>
    <s v="NR-202444864342793-CT-POA-MRS-CC-1007864343_x000a_202444864342793_x000a_"/>
    <m/>
    <m/>
    <s v="ELETROMIDIA POA CONCESSIONARIA DE MOBILIARIO URBANO SPE S.A."/>
    <m/>
    <m/>
    <m/>
    <m/>
    <s v="Sem CRM"/>
    <x v="12"/>
    <n v="202444864342793"/>
    <m/>
  </r>
  <r>
    <s v="PROJETO TERCEIROS"/>
    <s v="EM PROJETO"/>
    <s v="RS-2509504MRS1.1.0004 - RS-2509504MRS1.1.0005"/>
    <s v="PARADA DE ÔNIBUS - AV. BORGES DE MEDEIROS 1  E 2"/>
    <s v="NR-202444864863907-CT-POA-MRS-CC-1007865307_x000a_202444864863907_x000a_"/>
    <m/>
    <m/>
    <s v="ELETROMIDIA POA CONCESSIONARIA DE MOBILIARIO URBANO SPE S.A."/>
    <m/>
    <m/>
    <m/>
    <m/>
    <s v="Sem CRM"/>
    <x v="12"/>
    <n v="202444864863907"/>
    <m/>
  </r>
  <r>
    <s v="PROJETO TERCEIROS"/>
    <s v="EM PROJETO"/>
    <s v="RS-2509504MRS1.1.0007"/>
    <s v="PARADA DE ÔNIBUS - RUA DA CONCEIÇÃO 123 -*CANCELADO*"/>
    <s v="NR-202444881339507-MRS-ELETROMIDIA POA-PORTO ALEGRE"/>
    <m/>
    <m/>
    <s v="ELETROMIDIA POA CONCESSIONARIA DE MOBILIARIO URBANO SPE S.A."/>
    <m/>
    <m/>
    <m/>
    <m/>
    <s v="Sem CRM"/>
    <x v="12"/>
    <n v="202444881339507"/>
    <m/>
  </r>
  <r>
    <s v="PROJETO TERCEIROS"/>
    <s v="EM PROJETO"/>
    <s v="RS-2509504MRS1.1.0082"/>
    <s v="PARADA DE ÔNIBUS - BORGES DE MEDEIROS 628"/>
    <s v="NR-202445039147027 -ME-POA-MRS-CC-1013844018-ELETROMIDIA POA CONCESSIONARIA DE MOBILIARIO URBANO SPE S.A."/>
    <d v="2024-12-12T00:00:00"/>
    <m/>
    <s v="ELETROMIDIA POA CONCESSIONARIA DE MOBILIARIO URBANO SPE S.A."/>
    <m/>
    <m/>
    <m/>
    <m/>
    <s v="Sem CRM"/>
    <x v="13"/>
    <n v="202445039147027"/>
    <s v="SS está na etapa de Obras, PROENERGIA NÃO CRIOU PEP"/>
  </r>
  <r>
    <s v="PROJETO TERCEIROS"/>
    <s v="EM PROJETO"/>
    <s v="RS-2509504MRS1.1.0146"/>
    <s v="PARADA DE ÔNIBUS"/>
    <s v="NR-202445076997963-ME-POA-MRS-CC-1013844018-ELETROMIDIA POA CONCESSIONARIA DE MOBILIARIO URBANO SPE S.A."/>
    <d v="2024-12-10T00:00:00"/>
    <m/>
    <s v="ELETROMIDIA POA CONCESSIONARIA DE MOBILIARIO URBANO SPE S.A."/>
    <m/>
    <m/>
    <m/>
    <m/>
    <s v="Sem CRM"/>
    <x v="13"/>
    <n v="202445076997963"/>
    <s v="SS está na etapa de Obras, NÃO FEZ O PROJETO"/>
  </r>
  <r>
    <s v="PROJETO TERCEIROS"/>
    <s v="EM PROJETO"/>
    <s v="RS-2509504MRS1.1.0148"/>
    <s v="PARADA DE ÔNIBUS"/>
    <s v="NR-202445076968156-ME-POA-MRS-CC-1013844018-ELETROMIDIA POA CONCESSIONARIA DE MOBILIARIO URBANO SPE S.A."/>
    <d v="2024-12-10T00:00:00"/>
    <m/>
    <s v="ELETROMIDIA POA CONCESSIONARIA DE MOBILIARIO URBANO SPE S.A."/>
    <m/>
    <m/>
    <m/>
    <m/>
    <s v="Sem CRM"/>
    <x v="13"/>
    <n v="202445076968156"/>
    <s v="SS está na etapa de Obras, NÃO FEZ O PROJETO"/>
  </r>
  <r>
    <s v="PROJETO TERCEIROS"/>
    <s v="EM PROJETO"/>
    <s v="RS-2509504MRS1.1.0149"/>
    <s v="PARADA DE ÔNIBUS"/>
    <s v="NR-202445053553274-ME-POA-MRS-CC-1013844018-ELETROMIDIA POA CONCESSIONARIA DE MOBILIARIO URBANO SPE S.A."/>
    <d v="2024-12-12T00:00:00"/>
    <m/>
    <s v="ELETROMIDIA POA CONCESSIONARIA DE MOBILIARIO URBANO SPE S.A."/>
    <m/>
    <m/>
    <m/>
    <m/>
    <s v="Sem CRM"/>
    <x v="13"/>
    <n v="202445053553274"/>
    <s v="SS está na etapa de Obras, NÃO FEZ O PROJETO"/>
  </r>
  <r>
    <s v="PROJETO TERCEIROS"/>
    <s v="EM PROJETO"/>
    <s v="RS-2509504MRS1.1.0150"/>
    <s v="PARADA DE ÔNIBUS"/>
    <s v="NR-202445076985303-ME-POA-MRS-CC-1013844018-ELETROMIDIA POA CONCESSIONARIA DE MOBILIARIO URBANO SPE S.A."/>
    <d v="2024-12-10T00:00:00"/>
    <m/>
    <s v="ELETROMIDIA POA CONCESSIONARIA DE MOBILIARIO URBANO SPE S.A."/>
    <m/>
    <m/>
    <m/>
    <m/>
    <s v="Sem CRM"/>
    <x v="13"/>
    <n v="202445076985303"/>
    <s v="SS está na etapa de Obras, NÃO FEZ O PROJETO"/>
  </r>
  <r>
    <s v="PROJETO TERCEIROS"/>
    <s v="EM PROJETO"/>
    <s v="RS-2509504MRS1.1.0151"/>
    <s v="PARADA DE ÔNIBUS"/>
    <s v="NR-202444626072740-CT-POA-MRS-CC-1007830422_x000a_202444626072740_x000a_"/>
    <m/>
    <m/>
    <s v="ELETROMIDIA POA CONCESSIONARIA DE MOBILIARIO URBANO SPE S.A."/>
    <m/>
    <m/>
    <m/>
    <m/>
    <s v="Sem CRM"/>
    <x v="12"/>
    <n v="202444626072740"/>
    <m/>
  </r>
  <r>
    <s v="PROJETO TERCEIROS"/>
    <s v="EM PROJETO"/>
    <s v="RS-2509504MRS1.1.0151"/>
    <s v="PARADA DE ÔNIBUS"/>
    <s v="NR-202445292026273-ME-POA-MRS-CC-1013844018-ELETROMIDIA POA CONCESSIONARIA DE MOBILIARIO URBANO SPE S.A."/>
    <d v="2024-12-04T00:00:00"/>
    <m/>
    <s v="ELETROMIDIA POA CONCESSIONARIA DE MOBILIARIO URBANO SPE S.A."/>
    <m/>
    <m/>
    <m/>
    <m/>
    <s v="Sem CRM"/>
    <x v="13"/>
    <n v="202445292026273"/>
    <s v="SS está na etapa de Obras, NÃO FEZ O PROJETO"/>
  </r>
  <r>
    <s v="PROJETO TERCEIROS"/>
    <s v="EM PROJETO"/>
    <m/>
    <s v="Remoção / Deslocamento de poste - JUCA BATISTA"/>
    <s v="NR-202445352484540-ME-POA-MRS-CC-7265053-MUNICIPIO DE PORTO ALEGRE-SUBTERRÂNEA"/>
    <d v="2024-12-26T00:00:00"/>
    <m/>
    <s v="MUNICIPIO DE PORTO ALEGRE"/>
    <m/>
    <m/>
    <m/>
    <m/>
    <s v="Sem CRM"/>
    <x v="13"/>
    <n v="202445352484540"/>
    <s v="Em avaliação pela área de normas"/>
  </r>
  <r>
    <s v="PROJETO TERCEIROS"/>
    <s v="EM PROJETO"/>
    <s v="RS-2509504MRS1.1.0152"/>
    <s v="Orçamento"/>
    <s v="NR-202445056569619-ME-POA-MRS-CC-1008002744-MUNICIPIO DE PORTO ALEGRE"/>
    <d v="2024-12-27T00:00:00"/>
    <m/>
    <s v="MUNICIPIO DE PORTO ALEGRE"/>
    <m/>
    <m/>
    <m/>
    <m/>
    <s v="Sem CRM"/>
    <x v="13"/>
    <n v="202445056569619"/>
    <s v="SS está na etapa de Obras, NÃO FEZ O PROJETO"/>
  </r>
  <r>
    <m/>
    <m/>
    <m/>
    <s v="PROTETOR&gt;116/13"/>
    <m/>
    <m/>
    <m/>
    <m/>
    <m/>
    <m/>
    <m/>
    <m/>
    <m/>
    <x v="12"/>
    <m/>
    <m/>
  </r>
  <r>
    <s v="PROJETO TERCEIROS"/>
    <s v="EM PROJETO"/>
    <m/>
    <s v="Ligação nova"/>
    <s v="NR-202545478369982-CT-POA-UNI-CC-1008187124-LEANDRO GOMES NIEHUES"/>
    <d v="2025-02-28T00:00:00"/>
    <m/>
    <m/>
    <m/>
    <m/>
    <m/>
    <m/>
    <m/>
    <x v="10"/>
    <m/>
    <m/>
  </r>
  <r>
    <s v="PROJETO TERCEIROS"/>
    <s v="EM PROJETO"/>
    <m/>
    <s v="Ligação nova"/>
    <s v="NR-202545564678675-CT-POA-UNI-CC-1008318130-MUNICIPIO DE PORTO ALEGRE - SUBTERRÂNEO"/>
    <m/>
    <m/>
    <s v="MUNICIPIO DE PORTO ALEGRE"/>
    <m/>
    <m/>
    <m/>
    <m/>
    <m/>
    <x v="12"/>
    <s v="Câmera"/>
    <m/>
  </r>
  <r>
    <m/>
    <m/>
    <m/>
    <m/>
    <s v="ME-MRS-POA-OC-2025-75423"/>
    <m/>
    <m/>
    <s v="Borges x Fernando Machado"/>
    <m/>
    <m/>
    <m/>
    <m/>
    <m/>
    <x v="12"/>
    <m/>
    <m/>
  </r>
  <r>
    <m/>
    <m/>
    <m/>
    <m/>
    <s v="NR-PAL6-CA-POA-DIS-AL-SUBTERRÂNEO"/>
    <m/>
    <m/>
    <s v="PAL6"/>
    <m/>
    <m/>
    <m/>
    <m/>
    <m/>
    <x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27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  <pivotField showAll="0"/>
    <pivotField axis="axisRow" showAll="0" defaultSubtotal="0">
      <items count="17">
        <item x="12"/>
        <item x="13"/>
        <item x="2"/>
        <item x="5"/>
        <item x="4"/>
        <item x="10"/>
        <item x="11"/>
        <item x="7"/>
        <item x="8"/>
        <item x="0"/>
        <item x="1"/>
        <item x="6"/>
        <item x="3"/>
        <item m="1" x="14"/>
        <item m="1" x="16"/>
        <item m="1" x="15"/>
        <item x="9"/>
      </items>
    </pivotField>
    <pivotField showAll="0"/>
    <pivotField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6"/>
    </i>
    <i t="grand">
      <x/>
    </i>
  </rowItems>
  <colItems count="1">
    <i/>
  </colItems>
  <dataFields count="1">
    <dataField name="Soma de TR" fld="11" baseField="13" baseItem="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dinâmica1" cacheId="427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/>
    <pivotField axis="axisRow" showAll="0" sortType="ascending" defaultSubtotal="0">
      <items count="17">
        <item m="1" x="16"/>
        <item x="12"/>
        <item m="1" x="15"/>
        <item x="13"/>
        <item m="1" x="14"/>
        <item x="9"/>
        <item x="2"/>
        <item x="5"/>
        <item x="4"/>
        <item x="10"/>
        <item x="11"/>
        <item x="7"/>
        <item x="8"/>
        <item x="0"/>
        <item x="1"/>
        <item x="6"/>
        <item x="3"/>
      </items>
    </pivotField>
    <pivotField showAll="0"/>
    <pivotField showAll="0"/>
  </pivotFields>
  <rowFields count="1">
    <field x="13"/>
  </rowFields>
  <rowItems count="15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QTD CH SF6" fld="9" baseField="9" baseItem="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 dinâmica1" cacheId="427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/>
    <pivotField axis="axisRow" showAll="0" defaultSubtotal="0">
      <items count="17">
        <item x="12"/>
        <item x="13"/>
        <item x="2"/>
        <item x="5"/>
        <item x="4"/>
        <item x="10"/>
        <item x="11"/>
        <item x="7"/>
        <item x="8"/>
        <item x="0"/>
        <item x="1"/>
        <item x="6"/>
        <item x="3"/>
        <item m="1" x="14"/>
        <item m="1" x="16"/>
        <item m="1" x="15"/>
        <item x="9"/>
      </items>
    </pivotField>
    <pivotField showAll="0"/>
    <pivotField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6"/>
    </i>
    <i t="grand">
      <x/>
    </i>
  </rowItems>
  <colItems count="1">
    <i/>
  </colItems>
  <dataFields count="1">
    <dataField name="Soma de KM REDE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2:P65" totalsRowShown="0">
  <autoFilter ref="A2:P65" xr:uid="{00000000-0009-0000-0100-000003000000}">
    <filterColumn colId="0">
      <filters>
        <filter val="PROJETO PMRDS"/>
      </filters>
    </filterColumn>
  </autoFilter>
  <tableColumns count="16">
    <tableColumn id="1" xr3:uid="{00000000-0010-0000-0000-000001000000}" name="Tipo de demanda"/>
    <tableColumn id="2" xr3:uid="{00000000-0010-0000-0000-000002000000}" name="STATUS"/>
    <tableColumn id="6" xr3:uid="{00000000-0010-0000-0000-000006000000}" name="PEP"/>
    <tableColumn id="3" xr3:uid="{00000000-0010-0000-0000-000003000000}" name="DESCRIÇÃO"/>
    <tableColumn id="7" xr3:uid="{00000000-0010-0000-0000-000007000000}" name="Nota SISGB"/>
    <tableColumn id="10" xr3:uid="{00000000-0010-0000-0000-00000A000000}" name="PRAZO" dataDxfId="15"/>
    <tableColumn id="9" xr3:uid="{00000000-0010-0000-0000-000009000000}" name="Endereço"/>
    <tableColumn id="8" xr3:uid="{00000000-0010-0000-0000-000008000000}" name="Cliente" dataDxfId="14"/>
    <tableColumn id="12" xr3:uid="{00000000-0010-0000-0000-00000C000000}" name="KM REDE"/>
    <tableColumn id="13" xr3:uid="{00000000-0010-0000-0000-00000D000000}" name="QTD CH SF6"/>
    <tableColumn id="14" xr3:uid="{00000000-0010-0000-0000-00000E000000}" name="QTD DJ"/>
    <tableColumn id="16" xr3:uid="{00000000-0010-0000-0000-000010000000}" name="TR"/>
    <tableColumn id="5" xr3:uid="{00000000-0010-0000-0000-000005000000}" name="Local"/>
    <tableColumn id="15" xr3:uid="{00000000-0010-0000-0000-00000F000000}" name="Mês" dataDxfId="13">
      <calculatedColumnFormula>CONCATENATE(YEAR(F3),"-",MONTH(F3))</calculatedColumnFormula>
    </tableColumn>
    <tableColumn id="4" xr3:uid="{00000000-0010-0000-0000-000004000000}" name="Obs" dataDxfId="12"/>
    <tableColumn id="11" xr3:uid="{00000000-0010-0000-0000-00000B000000}" name="OBS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J22" totalsRowShown="0" headerRowDxfId="11" dataDxfId="10">
  <autoFilter ref="A1:J22" xr:uid="{00000000-0009-0000-0100-000002000000}"/>
  <tableColumns count="10">
    <tableColumn id="1" xr3:uid="{00000000-0010-0000-0100-000001000000}" name="Tipo de demanda" dataDxfId="9"/>
    <tableColumn id="2" xr3:uid="{00000000-0010-0000-0100-000002000000}" name="STATUS" dataDxfId="8"/>
    <tableColumn id="3" xr3:uid="{00000000-0010-0000-0100-000003000000}" name="DESCRIÇÃO" dataDxfId="7"/>
    <tableColumn id="4" xr3:uid="{00000000-0010-0000-0100-000004000000}" name="SS" dataDxfId="6"/>
    <tableColumn id="5" xr3:uid="{00000000-0010-0000-0100-000005000000}" name="CRM" dataDxfId="5"/>
    <tableColumn id="6" xr3:uid="{00000000-0010-0000-0100-000006000000}" name="Nota SISGB" dataDxfId="4"/>
    <tableColumn id="7" xr3:uid="{00000000-0010-0000-0100-000007000000}" name="PEP" dataDxfId="3"/>
    <tableColumn id="8" xr3:uid="{00000000-0010-0000-0100-000008000000}" name="Cliente" dataDxfId="2"/>
    <tableColumn id="9" xr3:uid="{00000000-0010-0000-0100-000009000000}" name="Prazo Limite (regulado)" dataDxfId="1"/>
    <tableColumn id="10" xr3:uid="{00000000-0010-0000-0100-00000A000000}" name="O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topLeftCell="A16" zoomScale="85" zoomScaleNormal="85" workbookViewId="0">
      <selection activeCell="C19" sqref="C19"/>
    </sheetView>
  </sheetViews>
  <sheetFormatPr defaultRowHeight="13.9"/>
  <cols>
    <col min="1" max="1" width="21.140625" bestFit="1" customWidth="1"/>
    <col min="2" max="2" width="19.5703125" bestFit="1" customWidth="1"/>
    <col min="3" max="3" width="26.140625" customWidth="1"/>
    <col min="4" max="4" width="59.140625" bestFit="1" customWidth="1"/>
    <col min="5" max="5" width="116" bestFit="1" customWidth="1"/>
    <col min="6" max="6" width="10.42578125" bestFit="1" customWidth="1"/>
    <col min="7" max="7" width="29.7109375" bestFit="1" customWidth="1"/>
    <col min="8" max="8" width="67.28515625" bestFit="1" customWidth="1"/>
    <col min="9" max="9" width="12.140625" bestFit="1" customWidth="1"/>
    <col min="10" max="10" width="14.7109375" bestFit="1" customWidth="1"/>
    <col min="11" max="11" width="10.28515625" bestFit="1" customWidth="1"/>
    <col min="12" max="12" width="10.28515625" customWidth="1"/>
    <col min="13" max="13" width="26.28515625" bestFit="1" customWidth="1"/>
    <col min="14" max="14" width="11.42578125" customWidth="1"/>
    <col min="15" max="15" width="43.42578125" bestFit="1" customWidth="1"/>
    <col min="16" max="16" width="80.85546875" bestFit="1" customWidth="1"/>
    <col min="17" max="17" width="43.42578125" bestFit="1" customWidth="1"/>
    <col min="18" max="18" width="80.85546875" bestFit="1" customWidth="1"/>
    <col min="19" max="19" width="10.42578125" customWidth="1"/>
    <col min="20" max="20" width="13.5703125" bestFit="1" customWidth="1"/>
    <col min="21" max="21" width="9.42578125" bestFit="1" customWidth="1"/>
    <col min="22" max="22" width="42.42578125" style="20" bestFit="1" customWidth="1"/>
    <col min="23" max="23" width="78" bestFit="1" customWidth="1"/>
    <col min="24" max="24" width="9.140625" customWidth="1"/>
  </cols>
  <sheetData>
    <row r="1" spans="1:22">
      <c r="F1" s="20"/>
      <c r="I1">
        <f>SUBTOTAL(9,Tabela3[KM REDE])</f>
        <v>19334</v>
      </c>
      <c r="J1">
        <f>SUBTOTAL(9,Tabela3[QTD CH SF6])</f>
        <v>50</v>
      </c>
      <c r="K1">
        <f>SUBTOTAL(9,Tabela3[QTD DJ])</f>
        <v>13</v>
      </c>
      <c r="L1">
        <f>SUBTOTAL(9,Tabela3[TR])</f>
        <v>10</v>
      </c>
      <c r="N1" s="20"/>
      <c r="V1"/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s="20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0" t="s">
        <v>13</v>
      </c>
      <c r="O2" t="s">
        <v>14</v>
      </c>
      <c r="P2" t="s">
        <v>15</v>
      </c>
      <c r="V2"/>
    </row>
    <row r="3" spans="1:2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20">
        <v>45838</v>
      </c>
      <c r="G3" t="s">
        <v>21</v>
      </c>
      <c r="H3" t="s">
        <v>22</v>
      </c>
      <c r="J3">
        <v>8</v>
      </c>
      <c r="M3" t="s">
        <v>23</v>
      </c>
      <c r="N3" s="22" t="str">
        <f>CONCATENATE(YEAR(F3),"-",MONTH(F3))</f>
        <v>2025-6</v>
      </c>
      <c r="O3" t="s">
        <v>24</v>
      </c>
      <c r="V3"/>
    </row>
    <row r="4" spans="1:22">
      <c r="A4" t="s">
        <v>16</v>
      </c>
      <c r="B4" t="s">
        <v>17</v>
      </c>
      <c r="C4" t="s">
        <v>25</v>
      </c>
      <c r="D4" t="s">
        <v>26</v>
      </c>
      <c r="E4" t="s">
        <v>27</v>
      </c>
      <c r="F4" s="20">
        <v>45869</v>
      </c>
      <c r="G4" t="s">
        <v>28</v>
      </c>
      <c r="H4" t="s">
        <v>22</v>
      </c>
      <c r="J4">
        <v>8</v>
      </c>
      <c r="K4">
        <v>1</v>
      </c>
      <c r="M4" t="s">
        <v>29</v>
      </c>
      <c r="N4" s="22" t="str">
        <f>CONCATENATE(YEAR(F4),"-",MONTH(F4))</f>
        <v>2025-7</v>
      </c>
      <c r="O4" t="s">
        <v>24</v>
      </c>
      <c r="V4"/>
    </row>
    <row r="5" spans="1:22">
      <c r="A5" t="s">
        <v>16</v>
      </c>
      <c r="B5" t="s">
        <v>30</v>
      </c>
      <c r="C5" t="s">
        <v>31</v>
      </c>
      <c r="D5" t="s">
        <v>32</v>
      </c>
      <c r="E5" t="s">
        <v>33</v>
      </c>
      <c r="F5" s="20">
        <v>45960</v>
      </c>
      <c r="G5" t="s">
        <v>34</v>
      </c>
      <c r="H5" t="s">
        <v>22</v>
      </c>
      <c r="J5">
        <v>2</v>
      </c>
      <c r="K5">
        <v>1</v>
      </c>
      <c r="M5" t="s">
        <v>35</v>
      </c>
      <c r="N5" s="20" t="str">
        <f>CONCATENATE(YEAR(F5),"-",MONTH(F5))</f>
        <v>2025-10</v>
      </c>
      <c r="O5" t="s">
        <v>24</v>
      </c>
      <c r="P5" t="s">
        <v>36</v>
      </c>
      <c r="V5"/>
    </row>
    <row r="6" spans="1:22">
      <c r="A6" t="s">
        <v>16</v>
      </c>
      <c r="B6" t="s">
        <v>30</v>
      </c>
      <c r="C6" t="s">
        <v>37</v>
      </c>
      <c r="D6" t="s">
        <v>38</v>
      </c>
      <c r="E6" t="s">
        <v>39</v>
      </c>
      <c r="F6" s="20">
        <v>45930</v>
      </c>
      <c r="G6" t="s">
        <v>40</v>
      </c>
      <c r="H6" t="s">
        <v>22</v>
      </c>
      <c r="J6">
        <v>2</v>
      </c>
      <c r="K6">
        <v>1</v>
      </c>
      <c r="M6" t="s">
        <v>41</v>
      </c>
      <c r="N6" s="20" t="str">
        <f>CONCATENATE(YEAR(F6),"-",MONTH(F6))</f>
        <v>2025-9</v>
      </c>
      <c r="O6" t="s">
        <v>24</v>
      </c>
      <c r="V6"/>
    </row>
    <row r="7" spans="1:22">
      <c r="A7" t="s">
        <v>16</v>
      </c>
      <c r="B7" t="s">
        <v>30</v>
      </c>
      <c r="C7" t="s">
        <v>42</v>
      </c>
      <c r="D7" t="s">
        <v>43</v>
      </c>
      <c r="E7" t="s">
        <v>44</v>
      </c>
      <c r="F7" s="20">
        <v>45930</v>
      </c>
      <c r="G7" t="s">
        <v>45</v>
      </c>
      <c r="H7" t="s">
        <v>22</v>
      </c>
      <c r="J7">
        <v>2</v>
      </c>
      <c r="K7">
        <v>1</v>
      </c>
      <c r="M7" t="s">
        <v>46</v>
      </c>
      <c r="N7" s="20" t="str">
        <f>CONCATENATE(YEAR(F7),"-",MONTH(F7))</f>
        <v>2025-9</v>
      </c>
      <c r="O7" t="s">
        <v>24</v>
      </c>
      <c r="V7"/>
    </row>
    <row r="8" spans="1:22">
      <c r="A8" t="s">
        <v>16</v>
      </c>
      <c r="B8" t="s">
        <v>30</v>
      </c>
      <c r="C8" t="s">
        <v>47</v>
      </c>
      <c r="D8" t="s">
        <v>48</v>
      </c>
      <c r="E8" t="s">
        <v>49</v>
      </c>
      <c r="F8" s="20">
        <v>45930</v>
      </c>
      <c r="G8" t="s">
        <v>50</v>
      </c>
      <c r="H8" t="s">
        <v>22</v>
      </c>
      <c r="J8">
        <v>2</v>
      </c>
      <c r="K8">
        <v>1</v>
      </c>
      <c r="M8" t="s">
        <v>51</v>
      </c>
      <c r="N8" s="20" t="str">
        <f>CONCATENATE(YEAR(F8),"-",MONTH(F8))</f>
        <v>2025-9</v>
      </c>
      <c r="O8" t="s">
        <v>24</v>
      </c>
      <c r="V8"/>
    </row>
    <row r="9" spans="1:22">
      <c r="A9" t="s">
        <v>16</v>
      </c>
      <c r="B9" t="s">
        <v>30</v>
      </c>
      <c r="C9" t="s">
        <v>52</v>
      </c>
      <c r="D9" t="s">
        <v>53</v>
      </c>
      <c r="E9" t="s">
        <v>54</v>
      </c>
      <c r="F9" s="20">
        <v>45930</v>
      </c>
      <c r="G9" t="s">
        <v>55</v>
      </c>
      <c r="H9" t="s">
        <v>22</v>
      </c>
      <c r="J9">
        <v>2</v>
      </c>
      <c r="K9">
        <v>1</v>
      </c>
      <c r="M9" t="s">
        <v>56</v>
      </c>
      <c r="N9" s="20" t="str">
        <f>CONCATENATE(YEAR(F9),"-",MONTH(F9))</f>
        <v>2025-9</v>
      </c>
      <c r="O9" t="s">
        <v>24</v>
      </c>
      <c r="V9"/>
    </row>
    <row r="10" spans="1:22">
      <c r="A10" t="s">
        <v>16</v>
      </c>
      <c r="B10" t="s">
        <v>30</v>
      </c>
      <c r="C10" t="s">
        <v>57</v>
      </c>
      <c r="D10" t="s">
        <v>58</v>
      </c>
      <c r="E10" t="s">
        <v>59</v>
      </c>
      <c r="F10" s="20">
        <v>46021</v>
      </c>
      <c r="G10" t="s">
        <v>60</v>
      </c>
      <c r="H10" t="s">
        <v>22</v>
      </c>
      <c r="J10">
        <v>2</v>
      </c>
      <c r="K10">
        <v>1</v>
      </c>
      <c r="M10" t="s">
        <v>61</v>
      </c>
      <c r="N10" s="20" t="str">
        <f>CONCATENATE(YEAR(F10),"-",MONTH(F10))</f>
        <v>2025-12</v>
      </c>
      <c r="O10" t="s">
        <v>24</v>
      </c>
      <c r="P10" t="s">
        <v>62</v>
      </c>
      <c r="V10"/>
    </row>
    <row r="11" spans="1:22">
      <c r="A11" t="s">
        <v>16</v>
      </c>
      <c r="B11" t="s">
        <v>30</v>
      </c>
      <c r="C11" t="s">
        <v>63</v>
      </c>
      <c r="D11" t="s">
        <v>64</v>
      </c>
      <c r="E11" t="s">
        <v>65</v>
      </c>
      <c r="F11" s="20">
        <v>46021</v>
      </c>
      <c r="G11" t="s">
        <v>66</v>
      </c>
      <c r="H11" t="s">
        <v>22</v>
      </c>
      <c r="J11">
        <v>2</v>
      </c>
      <c r="K11">
        <v>1</v>
      </c>
      <c r="M11" t="s">
        <v>67</v>
      </c>
      <c r="N11" s="20" t="str">
        <f>CONCATENATE(YEAR(F11),"-",MONTH(F11))</f>
        <v>2025-12</v>
      </c>
      <c r="O11" t="s">
        <v>24</v>
      </c>
      <c r="P11" t="s">
        <v>68</v>
      </c>
      <c r="V11"/>
    </row>
    <row r="12" spans="1:22">
      <c r="A12" t="s">
        <v>16</v>
      </c>
      <c r="B12" t="s">
        <v>30</v>
      </c>
      <c r="C12" t="s">
        <v>69</v>
      </c>
      <c r="D12" t="s">
        <v>70</v>
      </c>
      <c r="E12" t="s">
        <v>71</v>
      </c>
      <c r="F12" s="20">
        <v>45960</v>
      </c>
      <c r="G12" t="s">
        <v>72</v>
      </c>
      <c r="H12" t="s">
        <v>22</v>
      </c>
      <c r="J12">
        <v>2</v>
      </c>
      <c r="K12">
        <v>1</v>
      </c>
      <c r="M12" t="s">
        <v>73</v>
      </c>
      <c r="N12" s="20" t="str">
        <f>CONCATENATE(YEAR(F12),"-",MONTH(F12))</f>
        <v>2025-10</v>
      </c>
      <c r="O12" t="s">
        <v>24</v>
      </c>
      <c r="V12"/>
    </row>
    <row r="13" spans="1:22">
      <c r="A13" t="s">
        <v>16</v>
      </c>
      <c r="B13" t="s">
        <v>30</v>
      </c>
      <c r="C13" t="s">
        <v>74</v>
      </c>
      <c r="D13" t="s">
        <v>75</v>
      </c>
      <c r="E13" t="s">
        <v>76</v>
      </c>
      <c r="F13" s="20">
        <v>45960</v>
      </c>
      <c r="G13" t="s">
        <v>77</v>
      </c>
      <c r="H13" t="s">
        <v>22</v>
      </c>
      <c r="J13">
        <v>2</v>
      </c>
      <c r="K13">
        <v>1</v>
      </c>
      <c r="M13" t="s">
        <v>78</v>
      </c>
      <c r="N13" s="20" t="str">
        <f>CONCATENATE(YEAR(F13),"-",MONTH(F13))</f>
        <v>2025-10</v>
      </c>
      <c r="O13" t="s">
        <v>24</v>
      </c>
      <c r="V13"/>
    </row>
    <row r="14" spans="1:22">
      <c r="A14" t="s">
        <v>16</v>
      </c>
      <c r="B14" t="s">
        <v>30</v>
      </c>
      <c r="C14" t="s">
        <v>79</v>
      </c>
      <c r="D14" t="s">
        <v>80</v>
      </c>
      <c r="E14" t="s">
        <v>81</v>
      </c>
      <c r="F14" s="20">
        <v>45991</v>
      </c>
      <c r="G14" t="s">
        <v>82</v>
      </c>
      <c r="H14" t="s">
        <v>22</v>
      </c>
      <c r="J14">
        <v>2</v>
      </c>
      <c r="K14">
        <v>1</v>
      </c>
      <c r="M14" t="s">
        <v>83</v>
      </c>
      <c r="N14" s="20" t="str">
        <f>CONCATENATE(YEAR(F14),"-",MONTH(F14))</f>
        <v>2025-11</v>
      </c>
      <c r="O14" t="s">
        <v>24</v>
      </c>
      <c r="P14" t="s">
        <v>84</v>
      </c>
      <c r="V14"/>
    </row>
    <row r="15" spans="1:22">
      <c r="A15" t="s">
        <v>16</v>
      </c>
      <c r="B15" t="s">
        <v>30</v>
      </c>
      <c r="C15" t="s">
        <v>85</v>
      </c>
      <c r="D15" t="s">
        <v>86</v>
      </c>
      <c r="E15" t="s">
        <v>87</v>
      </c>
      <c r="F15" s="20">
        <v>45991</v>
      </c>
      <c r="G15" t="s">
        <v>88</v>
      </c>
      <c r="H15" t="s">
        <v>22</v>
      </c>
      <c r="J15">
        <v>2</v>
      </c>
      <c r="K15">
        <v>1</v>
      </c>
      <c r="M15" t="s">
        <v>89</v>
      </c>
      <c r="N15" s="20" t="str">
        <f>CONCATENATE(YEAR(F15),"-",MONTH(F15))</f>
        <v>2025-11</v>
      </c>
      <c r="O15" t="s">
        <v>24</v>
      </c>
      <c r="V15"/>
    </row>
    <row r="16" spans="1:22">
      <c r="A16" t="s">
        <v>16</v>
      </c>
      <c r="B16" t="s">
        <v>30</v>
      </c>
      <c r="C16" t="s">
        <v>90</v>
      </c>
      <c r="D16" t="s">
        <v>91</v>
      </c>
      <c r="E16" t="s">
        <v>92</v>
      </c>
      <c r="F16" s="20">
        <v>45991</v>
      </c>
      <c r="G16" t="s">
        <v>93</v>
      </c>
      <c r="H16" t="s">
        <v>22</v>
      </c>
      <c r="J16">
        <v>2</v>
      </c>
      <c r="K16">
        <v>1</v>
      </c>
      <c r="M16" t="s">
        <v>94</v>
      </c>
      <c r="N16" s="20" t="str">
        <f>CONCATENATE(YEAR(F16),"-",MONTH(F16))</f>
        <v>2025-11</v>
      </c>
      <c r="O16" t="s">
        <v>24</v>
      </c>
      <c r="V16"/>
    </row>
    <row r="17" spans="1:22">
      <c r="A17" t="s">
        <v>16</v>
      </c>
      <c r="B17" t="s">
        <v>17</v>
      </c>
      <c r="C17" t="s">
        <v>95</v>
      </c>
      <c r="D17" t="s">
        <v>96</v>
      </c>
      <c r="E17" t="s">
        <v>97</v>
      </c>
      <c r="F17" s="20">
        <v>45899</v>
      </c>
      <c r="G17" t="s">
        <v>98</v>
      </c>
      <c r="H17" t="s">
        <v>22</v>
      </c>
      <c r="J17">
        <v>10</v>
      </c>
      <c r="M17" t="s">
        <v>99</v>
      </c>
      <c r="N17" s="20" t="str">
        <f>CONCATENATE(YEAR(F17),"-",MONTH(F17))</f>
        <v>2025-8</v>
      </c>
      <c r="O17" t="s">
        <v>24</v>
      </c>
      <c r="V17"/>
    </row>
    <row r="18" spans="1:22">
      <c r="A18" t="s">
        <v>16</v>
      </c>
      <c r="B18" t="s">
        <v>17</v>
      </c>
      <c r="C18" t="s">
        <v>100</v>
      </c>
      <c r="D18" s="24" t="s">
        <v>101</v>
      </c>
      <c r="E18" t="s">
        <v>17</v>
      </c>
      <c r="F18" s="20">
        <v>45762</v>
      </c>
      <c r="H18" t="s">
        <v>22</v>
      </c>
      <c r="I18">
        <v>957</v>
      </c>
      <c r="M18" t="s">
        <v>102</v>
      </c>
      <c r="N18" s="20" t="str">
        <f>CONCATENATE(YEAR(F18),"-",MONTH(F18))</f>
        <v>2025-4</v>
      </c>
      <c r="O18" t="s">
        <v>24</v>
      </c>
      <c r="V18"/>
    </row>
    <row r="19" spans="1:22">
      <c r="A19" t="s">
        <v>16</v>
      </c>
      <c r="B19" t="s">
        <v>17</v>
      </c>
      <c r="C19" t="s">
        <v>103</v>
      </c>
      <c r="D19" s="24" t="s">
        <v>104</v>
      </c>
      <c r="E19" t="s">
        <v>17</v>
      </c>
      <c r="F19" s="20">
        <v>45762</v>
      </c>
      <c r="H19" t="s">
        <v>22</v>
      </c>
      <c r="I19">
        <v>980</v>
      </c>
      <c r="M19" t="s">
        <v>102</v>
      </c>
      <c r="N19" s="20" t="str">
        <f>CONCATENATE(YEAR(F19),"-",MONTH(F19))</f>
        <v>2025-4</v>
      </c>
      <c r="O19" t="s">
        <v>24</v>
      </c>
      <c r="V19"/>
    </row>
    <row r="20" spans="1:22">
      <c r="A20" t="s">
        <v>16</v>
      </c>
      <c r="B20" t="s">
        <v>17</v>
      </c>
      <c r="C20" t="s">
        <v>105</v>
      </c>
      <c r="D20" s="24" t="s">
        <v>106</v>
      </c>
      <c r="E20" t="s">
        <v>17</v>
      </c>
      <c r="F20" s="20">
        <v>45777</v>
      </c>
      <c r="H20" t="s">
        <v>22</v>
      </c>
      <c r="I20">
        <v>1026</v>
      </c>
      <c r="M20" t="s">
        <v>107</v>
      </c>
      <c r="N20" s="20" t="str">
        <f>CONCATENATE(YEAR(F20),"-",MONTH(F20))</f>
        <v>2025-4</v>
      </c>
      <c r="O20" t="s">
        <v>24</v>
      </c>
      <c r="V20"/>
    </row>
    <row r="21" spans="1:22">
      <c r="A21" t="s">
        <v>16</v>
      </c>
      <c r="B21" t="s">
        <v>17</v>
      </c>
      <c r="C21" t="s">
        <v>108</v>
      </c>
      <c r="D21" s="24" t="s">
        <v>109</v>
      </c>
      <c r="E21" t="s">
        <v>17</v>
      </c>
      <c r="F21" s="20">
        <v>45792</v>
      </c>
      <c r="H21" t="s">
        <v>22</v>
      </c>
      <c r="I21">
        <v>779</v>
      </c>
      <c r="M21" t="s">
        <v>107</v>
      </c>
      <c r="N21" s="20" t="str">
        <f>CONCATENATE(YEAR(F21),"-",MONTH(F21))</f>
        <v>2025-5</v>
      </c>
      <c r="O21" t="s">
        <v>24</v>
      </c>
      <c r="V21"/>
    </row>
    <row r="22" spans="1:22">
      <c r="A22" t="s">
        <v>16</v>
      </c>
      <c r="B22" t="s">
        <v>17</v>
      </c>
      <c r="C22" t="s">
        <v>110</v>
      </c>
      <c r="D22" s="24" t="s">
        <v>111</v>
      </c>
      <c r="E22" t="s">
        <v>17</v>
      </c>
      <c r="F22" s="20">
        <v>45807</v>
      </c>
      <c r="H22" t="s">
        <v>22</v>
      </c>
      <c r="I22">
        <v>907</v>
      </c>
      <c r="M22" t="s">
        <v>107</v>
      </c>
      <c r="N22" s="20" t="str">
        <f>CONCATENATE(YEAR(F22),"-",MONTH(F22))</f>
        <v>2025-5</v>
      </c>
      <c r="O22" t="s">
        <v>24</v>
      </c>
      <c r="V22"/>
    </row>
    <row r="23" spans="1:22">
      <c r="A23" t="s">
        <v>16</v>
      </c>
      <c r="B23" t="s">
        <v>17</v>
      </c>
      <c r="C23" t="s">
        <v>112</v>
      </c>
      <c r="D23" s="24" t="s">
        <v>113</v>
      </c>
      <c r="E23" t="s">
        <v>17</v>
      </c>
      <c r="F23" s="20">
        <v>45822</v>
      </c>
      <c r="H23" t="s">
        <v>22</v>
      </c>
      <c r="I23">
        <v>611</v>
      </c>
      <c r="M23" t="s">
        <v>107</v>
      </c>
      <c r="N23" s="20" t="str">
        <f>CONCATENATE(YEAR(F23),"-",MONTH(F23))</f>
        <v>2025-6</v>
      </c>
      <c r="O23" t="s">
        <v>24</v>
      </c>
      <c r="V23"/>
    </row>
    <row r="24" spans="1:22">
      <c r="A24" t="s">
        <v>16</v>
      </c>
      <c r="B24" t="s">
        <v>17</v>
      </c>
      <c r="C24" t="s">
        <v>114</v>
      </c>
      <c r="D24" s="24" t="s">
        <v>115</v>
      </c>
      <c r="E24" t="s">
        <v>17</v>
      </c>
      <c r="F24" s="20">
        <v>45837</v>
      </c>
      <c r="H24" t="s">
        <v>22</v>
      </c>
      <c r="I24">
        <v>873</v>
      </c>
      <c r="M24" t="s">
        <v>107</v>
      </c>
      <c r="N24" s="20" t="str">
        <f>CONCATENATE(YEAR(F24),"-",MONTH(F24))</f>
        <v>2025-6</v>
      </c>
      <c r="O24" t="s">
        <v>24</v>
      </c>
      <c r="V24"/>
    </row>
    <row r="25" spans="1:22">
      <c r="A25" t="s">
        <v>16</v>
      </c>
      <c r="B25" t="s">
        <v>17</v>
      </c>
      <c r="C25" t="s">
        <v>116</v>
      </c>
      <c r="D25" s="24" t="s">
        <v>117</v>
      </c>
      <c r="E25" t="s">
        <v>17</v>
      </c>
      <c r="F25" s="20">
        <v>45901</v>
      </c>
      <c r="H25" t="s">
        <v>22</v>
      </c>
      <c r="I25">
        <v>1518</v>
      </c>
      <c r="M25" t="s">
        <v>118</v>
      </c>
      <c r="N25" s="20" t="str">
        <f>CONCATENATE(YEAR(F25),"-",MONTH(F25))</f>
        <v>2025-9</v>
      </c>
      <c r="O25" t="s">
        <v>24</v>
      </c>
      <c r="V25"/>
    </row>
    <row r="26" spans="1:22">
      <c r="A26" t="s">
        <v>16</v>
      </c>
      <c r="B26" t="s">
        <v>17</v>
      </c>
      <c r="C26" t="s">
        <v>119</v>
      </c>
      <c r="D26" s="24" t="s">
        <v>120</v>
      </c>
      <c r="E26" t="s">
        <v>17</v>
      </c>
      <c r="F26" s="20">
        <v>45901</v>
      </c>
      <c r="H26" t="s">
        <v>22</v>
      </c>
      <c r="I26">
        <v>1322</v>
      </c>
      <c r="M26" t="s">
        <v>118</v>
      </c>
      <c r="N26" s="20" t="str">
        <f>CONCATENATE(YEAR(F26),"-",MONTH(F26))</f>
        <v>2025-9</v>
      </c>
      <c r="O26" t="s">
        <v>24</v>
      </c>
      <c r="V26"/>
    </row>
    <row r="27" spans="1:22">
      <c r="A27" t="s">
        <v>16</v>
      </c>
      <c r="B27" t="s">
        <v>17</v>
      </c>
      <c r="C27" t="s">
        <v>121</v>
      </c>
      <c r="D27" s="24" t="s">
        <v>122</v>
      </c>
      <c r="E27" t="s">
        <v>17</v>
      </c>
      <c r="F27" s="20">
        <v>45931</v>
      </c>
      <c r="H27" t="s">
        <v>22</v>
      </c>
      <c r="I27">
        <v>1110</v>
      </c>
      <c r="M27" t="s">
        <v>118</v>
      </c>
      <c r="N27" s="20" t="str">
        <f>CONCATENATE(YEAR(F27),"-",MONTH(F27))</f>
        <v>2025-10</v>
      </c>
      <c r="O27" t="s">
        <v>24</v>
      </c>
      <c r="V27"/>
    </row>
    <row r="28" spans="1:22">
      <c r="A28" t="s">
        <v>16</v>
      </c>
      <c r="B28" t="s">
        <v>17</v>
      </c>
      <c r="C28" t="s">
        <v>123</v>
      </c>
      <c r="D28" s="24" t="s">
        <v>124</v>
      </c>
      <c r="E28" t="s">
        <v>17</v>
      </c>
      <c r="F28" s="20">
        <v>45931</v>
      </c>
      <c r="H28" t="s">
        <v>22</v>
      </c>
      <c r="I28">
        <v>1100</v>
      </c>
      <c r="M28" t="s">
        <v>118</v>
      </c>
      <c r="N28" s="20" t="str">
        <f>CONCATENATE(YEAR(F28),"-",MONTH(F28))</f>
        <v>2025-10</v>
      </c>
      <c r="O28" t="s">
        <v>24</v>
      </c>
      <c r="V28"/>
    </row>
    <row r="29" spans="1:22">
      <c r="A29" t="s">
        <v>16</v>
      </c>
      <c r="B29" t="s">
        <v>17</v>
      </c>
      <c r="C29" t="s">
        <v>125</v>
      </c>
      <c r="D29" s="24" t="s">
        <v>126</v>
      </c>
      <c r="E29" t="s">
        <v>17</v>
      </c>
      <c r="F29" s="20">
        <v>45912</v>
      </c>
      <c r="H29" t="s">
        <v>22</v>
      </c>
      <c r="M29" t="s">
        <v>118</v>
      </c>
      <c r="N29" s="20" t="str">
        <f>CONCATENATE(YEAR(F29),"-",MONTH(F29))</f>
        <v>2025-9</v>
      </c>
      <c r="O29" t="s">
        <v>24</v>
      </c>
      <c r="V29"/>
    </row>
    <row r="30" spans="1:22">
      <c r="A30" t="s">
        <v>16</v>
      </c>
      <c r="B30" t="s">
        <v>17</v>
      </c>
      <c r="C30" t="s">
        <v>127</v>
      </c>
      <c r="D30" s="24" t="s">
        <v>128</v>
      </c>
      <c r="E30" t="s">
        <v>17</v>
      </c>
      <c r="F30" s="20">
        <v>45962</v>
      </c>
      <c r="H30" t="s">
        <v>22</v>
      </c>
      <c r="I30">
        <v>1110</v>
      </c>
      <c r="M30" t="s">
        <v>129</v>
      </c>
      <c r="N30" s="20" t="str">
        <f>CONCATENATE(YEAR(F30),"-",MONTH(F30))</f>
        <v>2025-11</v>
      </c>
      <c r="O30" t="s">
        <v>24</v>
      </c>
      <c r="V30"/>
    </row>
    <row r="31" spans="1:22">
      <c r="A31" t="s">
        <v>16</v>
      </c>
      <c r="B31" t="s">
        <v>17</v>
      </c>
      <c r="C31" t="s">
        <v>130</v>
      </c>
      <c r="D31" s="24" t="s">
        <v>131</v>
      </c>
      <c r="E31" t="s">
        <v>17</v>
      </c>
      <c r="F31" s="20">
        <v>45962</v>
      </c>
      <c r="H31" t="s">
        <v>22</v>
      </c>
      <c r="I31">
        <v>1158</v>
      </c>
      <c r="M31" t="s">
        <v>129</v>
      </c>
      <c r="N31" s="20" t="str">
        <f>CONCATENATE(YEAR(F31),"-",MONTH(F31))</f>
        <v>2025-11</v>
      </c>
      <c r="O31" t="s">
        <v>24</v>
      </c>
      <c r="V31"/>
    </row>
    <row r="32" spans="1:22">
      <c r="A32" t="s">
        <v>16</v>
      </c>
      <c r="B32" t="s">
        <v>17</v>
      </c>
      <c r="C32" t="s">
        <v>132</v>
      </c>
      <c r="D32" s="24" t="s">
        <v>133</v>
      </c>
      <c r="E32" t="s">
        <v>17</v>
      </c>
      <c r="F32" s="20">
        <v>45992</v>
      </c>
      <c r="H32" t="s">
        <v>22</v>
      </c>
      <c r="I32">
        <v>1061</v>
      </c>
      <c r="M32" t="s">
        <v>129</v>
      </c>
      <c r="N32" s="20" t="str">
        <f>CONCATENATE(YEAR(F32),"-",MONTH(F32))</f>
        <v>2025-12</v>
      </c>
      <c r="O32" t="s">
        <v>24</v>
      </c>
      <c r="V32"/>
    </row>
    <row r="33" spans="1:22">
      <c r="A33" t="s">
        <v>16</v>
      </c>
      <c r="B33" t="s">
        <v>17</v>
      </c>
      <c r="C33" t="s">
        <v>134</v>
      </c>
      <c r="D33" s="24" t="s">
        <v>135</v>
      </c>
      <c r="E33" t="s">
        <v>17</v>
      </c>
      <c r="F33" s="20">
        <v>45992</v>
      </c>
      <c r="H33" t="s">
        <v>22</v>
      </c>
      <c r="I33">
        <v>1164</v>
      </c>
      <c r="M33" t="s">
        <v>129</v>
      </c>
      <c r="N33" s="20" t="str">
        <f>CONCATENATE(YEAR(F33),"-",MONTH(F33))</f>
        <v>2025-12</v>
      </c>
      <c r="O33" t="s">
        <v>24</v>
      </c>
      <c r="V33"/>
    </row>
    <row r="34" spans="1:22">
      <c r="A34" t="s">
        <v>16</v>
      </c>
      <c r="B34" t="s">
        <v>17</v>
      </c>
      <c r="C34" t="s">
        <v>136</v>
      </c>
      <c r="D34" s="24" t="s">
        <v>137</v>
      </c>
      <c r="E34" t="s">
        <v>138</v>
      </c>
      <c r="F34" s="20">
        <v>45809</v>
      </c>
      <c r="H34" t="s">
        <v>22</v>
      </c>
      <c r="I34">
        <v>1370</v>
      </c>
      <c r="M34" t="s">
        <v>139</v>
      </c>
      <c r="N34" s="20" t="str">
        <f>CONCATENATE(YEAR(F34),"-",MONTH(F34))</f>
        <v>2025-6</v>
      </c>
      <c r="O34" t="s">
        <v>24</v>
      </c>
      <c r="V34"/>
    </row>
    <row r="35" spans="1:22">
      <c r="A35" t="s">
        <v>16</v>
      </c>
      <c r="B35" t="s">
        <v>17</v>
      </c>
      <c r="C35" t="s">
        <v>140</v>
      </c>
      <c r="D35" s="24" t="s">
        <v>141</v>
      </c>
      <c r="E35" t="s">
        <v>138</v>
      </c>
      <c r="F35" s="20">
        <v>45839</v>
      </c>
      <c r="H35" t="s">
        <v>22</v>
      </c>
      <c r="I35">
        <v>1027</v>
      </c>
      <c r="M35" t="s">
        <v>139</v>
      </c>
      <c r="N35" s="20" t="str">
        <f>CONCATENATE(YEAR(F35),"-",MONTH(F35))</f>
        <v>2025-7</v>
      </c>
      <c r="O35" t="s">
        <v>24</v>
      </c>
      <c r="V35"/>
    </row>
    <row r="36" spans="1:22">
      <c r="A36" t="s">
        <v>16</v>
      </c>
      <c r="B36" t="s">
        <v>17</v>
      </c>
      <c r="C36" t="s">
        <v>142</v>
      </c>
      <c r="D36" s="24" t="s">
        <v>143</v>
      </c>
      <c r="E36" t="s">
        <v>138</v>
      </c>
      <c r="F36" s="20">
        <v>45870</v>
      </c>
      <c r="H36" t="s">
        <v>22</v>
      </c>
      <c r="I36">
        <v>1261</v>
      </c>
      <c r="M36" t="s">
        <v>139</v>
      </c>
      <c r="N36" s="20" t="str">
        <f>CONCATENATE(YEAR(F36),"-",MONTH(F36))</f>
        <v>2025-8</v>
      </c>
      <c r="O36" t="s">
        <v>24</v>
      </c>
      <c r="V36"/>
    </row>
    <row r="37" spans="1:22">
      <c r="A37" t="s">
        <v>16</v>
      </c>
      <c r="B37" t="s">
        <v>17</v>
      </c>
      <c r="C37" t="s">
        <v>144</v>
      </c>
      <c r="D37" t="s">
        <v>145</v>
      </c>
      <c r="E37" t="s">
        <v>17</v>
      </c>
      <c r="F37" s="20">
        <v>45658</v>
      </c>
      <c r="H37" t="s">
        <v>22</v>
      </c>
      <c r="L37">
        <v>1</v>
      </c>
      <c r="M37" t="s">
        <v>146</v>
      </c>
      <c r="N37" s="20" t="str">
        <f>CONCATENATE(YEAR(F37),"-",MONTH(F37))</f>
        <v>2025-1</v>
      </c>
      <c r="V37"/>
    </row>
    <row r="38" spans="1:22">
      <c r="A38" t="s">
        <v>16</v>
      </c>
      <c r="B38" t="s">
        <v>17</v>
      </c>
      <c r="C38" t="s">
        <v>147</v>
      </c>
      <c r="D38" t="s">
        <v>148</v>
      </c>
      <c r="E38" t="s">
        <v>17</v>
      </c>
      <c r="F38" s="20">
        <v>45690</v>
      </c>
      <c r="H38" t="s">
        <v>22</v>
      </c>
      <c r="L38">
        <v>1</v>
      </c>
      <c r="M38" t="s">
        <v>149</v>
      </c>
      <c r="N38" s="20" t="str">
        <f>CONCATENATE(YEAR(F38),"-",MONTH(F38))</f>
        <v>2025-2</v>
      </c>
      <c r="V38"/>
    </row>
    <row r="39" spans="1:22">
      <c r="A39" t="s">
        <v>16</v>
      </c>
      <c r="B39" t="s">
        <v>17</v>
      </c>
      <c r="C39" t="s">
        <v>150</v>
      </c>
      <c r="D39" t="s">
        <v>151</v>
      </c>
      <c r="E39" t="s">
        <v>17</v>
      </c>
      <c r="F39" s="20">
        <v>45730</v>
      </c>
      <c r="H39" t="s">
        <v>22</v>
      </c>
      <c r="L39">
        <v>1</v>
      </c>
      <c r="M39" t="s">
        <v>152</v>
      </c>
      <c r="N39" s="20" t="str">
        <f>CONCATENATE(YEAR(F39),"-",MONTH(F39))</f>
        <v>2025-3</v>
      </c>
      <c r="O39" t="s">
        <v>153</v>
      </c>
      <c r="V39"/>
    </row>
    <row r="40" spans="1:22">
      <c r="A40" t="s">
        <v>16</v>
      </c>
      <c r="B40" t="s">
        <v>17</v>
      </c>
      <c r="C40" t="s">
        <v>154</v>
      </c>
      <c r="D40" t="s">
        <v>155</v>
      </c>
      <c r="E40" t="s">
        <v>17</v>
      </c>
      <c r="F40" s="20">
        <v>45762</v>
      </c>
      <c r="H40" t="s">
        <v>22</v>
      </c>
      <c r="L40">
        <v>1</v>
      </c>
      <c r="M40" t="s">
        <v>156</v>
      </c>
      <c r="N40" s="20" t="str">
        <f>CONCATENATE(YEAR(F40),"-",MONTH(F40))</f>
        <v>2025-4</v>
      </c>
      <c r="O40" t="s">
        <v>157</v>
      </c>
      <c r="V40"/>
    </row>
    <row r="41" spans="1:22">
      <c r="A41" t="s">
        <v>16</v>
      </c>
      <c r="B41" t="s">
        <v>17</v>
      </c>
      <c r="C41" t="s">
        <v>158</v>
      </c>
      <c r="D41" t="s">
        <v>159</v>
      </c>
      <c r="E41" t="s">
        <v>17</v>
      </c>
      <c r="F41" s="20">
        <v>45798</v>
      </c>
      <c r="H41" t="s">
        <v>22</v>
      </c>
      <c r="L41">
        <v>1</v>
      </c>
      <c r="M41" t="s">
        <v>160</v>
      </c>
      <c r="N41" s="20" t="str">
        <f>CONCATENATE(YEAR(F41),"-",MONTH(F41))</f>
        <v>2025-5</v>
      </c>
      <c r="O41" t="s">
        <v>153</v>
      </c>
      <c r="V41"/>
    </row>
    <row r="42" spans="1:22">
      <c r="A42" t="s">
        <v>16</v>
      </c>
      <c r="B42" t="s">
        <v>17</v>
      </c>
      <c r="C42" t="s">
        <v>161</v>
      </c>
      <c r="D42" t="s">
        <v>162</v>
      </c>
      <c r="E42" t="s">
        <v>163</v>
      </c>
      <c r="F42" s="20">
        <v>45870</v>
      </c>
      <c r="H42" t="s">
        <v>22</v>
      </c>
      <c r="L42">
        <v>1</v>
      </c>
      <c r="M42" t="s">
        <v>164</v>
      </c>
      <c r="N42" s="20" t="str">
        <f>CONCATENATE(YEAR(F42),"-",MONTH(F42))</f>
        <v>2025-8</v>
      </c>
      <c r="O42" t="s">
        <v>165</v>
      </c>
      <c r="V42"/>
    </row>
    <row r="43" spans="1:22">
      <c r="A43" t="s">
        <v>16</v>
      </c>
      <c r="B43" t="s">
        <v>17</v>
      </c>
      <c r="C43" t="s">
        <v>166</v>
      </c>
      <c r="D43" t="s">
        <v>167</v>
      </c>
      <c r="E43" t="s">
        <v>163</v>
      </c>
      <c r="F43" s="20">
        <v>45901</v>
      </c>
      <c r="H43" t="s">
        <v>22</v>
      </c>
      <c r="L43">
        <v>1</v>
      </c>
      <c r="M43" t="s">
        <v>168</v>
      </c>
      <c r="N43" s="20" t="str">
        <f>CONCATENATE(YEAR(F43),"-",MONTH(F43))</f>
        <v>2025-9</v>
      </c>
      <c r="O43" t="s">
        <v>169</v>
      </c>
      <c r="V43"/>
    </row>
    <row r="44" spans="1:22">
      <c r="A44" t="s">
        <v>16</v>
      </c>
      <c r="B44" t="s">
        <v>17</v>
      </c>
      <c r="C44" t="s">
        <v>170</v>
      </c>
      <c r="D44" t="s">
        <v>171</v>
      </c>
      <c r="E44" t="s">
        <v>163</v>
      </c>
      <c r="F44" s="20">
        <v>45931</v>
      </c>
      <c r="H44" t="s">
        <v>22</v>
      </c>
      <c r="L44">
        <v>1</v>
      </c>
      <c r="M44" t="s">
        <v>172</v>
      </c>
      <c r="N44" s="20" t="str">
        <f>CONCATENATE(YEAR(F44),"-",MONTH(F44))</f>
        <v>2025-10</v>
      </c>
      <c r="O44" t="s">
        <v>165</v>
      </c>
      <c r="V44"/>
    </row>
    <row r="45" spans="1:22">
      <c r="A45" t="s">
        <v>16</v>
      </c>
      <c r="B45" t="s">
        <v>17</v>
      </c>
      <c r="C45" t="s">
        <v>173</v>
      </c>
      <c r="D45" t="s">
        <v>174</v>
      </c>
      <c r="E45" t="s">
        <v>163</v>
      </c>
      <c r="F45" s="20">
        <v>45962</v>
      </c>
      <c r="H45" t="s">
        <v>22</v>
      </c>
      <c r="L45">
        <v>1</v>
      </c>
      <c r="M45" t="s">
        <v>175</v>
      </c>
      <c r="N45" s="20" t="str">
        <f>CONCATENATE(YEAR(F45),"-",MONTH(F45))</f>
        <v>2025-11</v>
      </c>
      <c r="O45" t="s">
        <v>176</v>
      </c>
      <c r="V45"/>
    </row>
    <row r="46" spans="1:22">
      <c r="A46" t="s">
        <v>16</v>
      </c>
      <c r="B46" t="s">
        <v>17</v>
      </c>
      <c r="C46" t="s">
        <v>177</v>
      </c>
      <c r="D46" t="s">
        <v>178</v>
      </c>
      <c r="E46" t="s">
        <v>163</v>
      </c>
      <c r="F46" s="20">
        <v>45992</v>
      </c>
      <c r="H46" t="s">
        <v>22</v>
      </c>
      <c r="L46">
        <v>1</v>
      </c>
      <c r="M46" t="s">
        <v>179</v>
      </c>
      <c r="N46" s="20" t="str">
        <f>CONCATENATE(YEAR(F46),"-",MONTH(F46))</f>
        <v>2025-12</v>
      </c>
      <c r="O46" t="s">
        <v>180</v>
      </c>
      <c r="V46"/>
    </row>
    <row r="47" spans="1:22" hidden="1">
      <c r="D47" t="s">
        <v>181</v>
      </c>
      <c r="F47" s="20"/>
      <c r="M47" t="s">
        <v>182</v>
      </c>
      <c r="N47" s="20" t="str">
        <f>CONCATENATE(YEAR(F47),"-",MONTH(F47))</f>
        <v>1900-1</v>
      </c>
      <c r="O47" t="s">
        <v>183</v>
      </c>
      <c r="V47"/>
    </row>
    <row r="48" spans="1:22" hidden="1">
      <c r="D48" t="s">
        <v>184</v>
      </c>
      <c r="F48" s="20"/>
      <c r="M48" t="s">
        <v>185</v>
      </c>
      <c r="N48" s="20" t="str">
        <f>CONCATENATE(YEAR(F48),"-",MONTH(F48))</f>
        <v>1900-1</v>
      </c>
      <c r="O48" t="s">
        <v>183</v>
      </c>
      <c r="V48"/>
    </row>
    <row r="49" spans="1:22" hidden="1">
      <c r="A49" t="s">
        <v>186</v>
      </c>
      <c r="B49" t="s">
        <v>30</v>
      </c>
      <c r="C49" t="s">
        <v>187</v>
      </c>
      <c r="D49" t="s">
        <v>188</v>
      </c>
      <c r="E49" t="s">
        <v>189</v>
      </c>
      <c r="F49" s="20"/>
      <c r="H49" t="s">
        <v>190</v>
      </c>
      <c r="M49" t="s">
        <v>191</v>
      </c>
      <c r="N49" s="20" t="str">
        <f>CONCATENATE(YEAR(F49),"-",MONTH(F49))</f>
        <v>1900-1</v>
      </c>
      <c r="O49">
        <v>202444864342793</v>
      </c>
      <c r="V49"/>
    </row>
    <row r="50" spans="1:22" hidden="1">
      <c r="A50" t="s">
        <v>186</v>
      </c>
      <c r="B50" t="s">
        <v>30</v>
      </c>
      <c r="C50" t="s">
        <v>187</v>
      </c>
      <c r="D50" t="s">
        <v>188</v>
      </c>
      <c r="E50" t="s">
        <v>192</v>
      </c>
      <c r="F50" s="20"/>
      <c r="H50" t="s">
        <v>190</v>
      </c>
      <c r="M50" t="s">
        <v>191</v>
      </c>
      <c r="N50" s="20" t="str">
        <f>CONCATENATE(YEAR(F50),"-",MONTH(F50))</f>
        <v>1900-1</v>
      </c>
      <c r="O50">
        <v>202444864863907</v>
      </c>
      <c r="V50"/>
    </row>
    <row r="51" spans="1:22" hidden="1">
      <c r="A51" t="s">
        <v>186</v>
      </c>
      <c r="B51" t="s">
        <v>30</v>
      </c>
      <c r="C51" t="s">
        <v>193</v>
      </c>
      <c r="D51" t="s">
        <v>194</v>
      </c>
      <c r="E51" t="s">
        <v>195</v>
      </c>
      <c r="F51" s="20"/>
      <c r="H51" t="s">
        <v>190</v>
      </c>
      <c r="M51" t="s">
        <v>191</v>
      </c>
      <c r="N51" s="20" t="str">
        <f>CONCATENATE(YEAR(F51),"-",MONTH(F51))</f>
        <v>1900-1</v>
      </c>
      <c r="O51">
        <v>202444881339507</v>
      </c>
      <c r="V51"/>
    </row>
    <row r="52" spans="1:22" hidden="1">
      <c r="A52" t="s">
        <v>186</v>
      </c>
      <c r="B52" t="s">
        <v>30</v>
      </c>
      <c r="C52" t="s">
        <v>196</v>
      </c>
      <c r="D52" t="s">
        <v>197</v>
      </c>
      <c r="E52" t="s">
        <v>198</v>
      </c>
      <c r="F52" s="20">
        <v>45638</v>
      </c>
      <c r="H52" t="s">
        <v>190</v>
      </c>
      <c r="M52" t="s">
        <v>191</v>
      </c>
      <c r="N52" s="20" t="str">
        <f>CONCATENATE(YEAR(F52),"-",MONTH(F52))</f>
        <v>2024-12</v>
      </c>
      <c r="O52">
        <v>202445039147027</v>
      </c>
      <c r="P52" t="s">
        <v>199</v>
      </c>
      <c r="V52"/>
    </row>
    <row r="53" spans="1:22" hidden="1">
      <c r="A53" t="s">
        <v>186</v>
      </c>
      <c r="B53" t="s">
        <v>30</v>
      </c>
      <c r="C53" t="s">
        <v>200</v>
      </c>
      <c r="D53" t="s">
        <v>201</v>
      </c>
      <c r="E53" t="s">
        <v>202</v>
      </c>
      <c r="F53" s="20">
        <v>45636</v>
      </c>
      <c r="H53" t="s">
        <v>190</v>
      </c>
      <c r="M53" t="s">
        <v>191</v>
      </c>
      <c r="N53" s="20" t="str">
        <f>CONCATENATE(YEAR(F53),"-",MONTH(F53))</f>
        <v>2024-12</v>
      </c>
      <c r="O53">
        <v>202445076997963</v>
      </c>
      <c r="P53" t="s">
        <v>203</v>
      </c>
      <c r="V53"/>
    </row>
    <row r="54" spans="1:22" hidden="1">
      <c r="A54" t="s">
        <v>186</v>
      </c>
      <c r="B54" t="s">
        <v>30</v>
      </c>
      <c r="C54" t="s">
        <v>204</v>
      </c>
      <c r="D54" t="s">
        <v>201</v>
      </c>
      <c r="E54" t="s">
        <v>205</v>
      </c>
      <c r="F54" s="20">
        <v>45636</v>
      </c>
      <c r="H54" t="s">
        <v>190</v>
      </c>
      <c r="M54" t="s">
        <v>191</v>
      </c>
      <c r="N54" s="20" t="str">
        <f>CONCATENATE(YEAR(F54),"-",MONTH(F54))</f>
        <v>2024-12</v>
      </c>
      <c r="O54">
        <v>202445076968156</v>
      </c>
      <c r="P54" t="s">
        <v>203</v>
      </c>
      <c r="V54"/>
    </row>
    <row r="55" spans="1:22" hidden="1">
      <c r="A55" t="s">
        <v>186</v>
      </c>
      <c r="B55" t="s">
        <v>30</v>
      </c>
      <c r="C55" t="s">
        <v>206</v>
      </c>
      <c r="D55" t="s">
        <v>201</v>
      </c>
      <c r="E55" t="s">
        <v>207</v>
      </c>
      <c r="F55" s="20">
        <v>45638</v>
      </c>
      <c r="H55" t="s">
        <v>190</v>
      </c>
      <c r="M55" t="s">
        <v>191</v>
      </c>
      <c r="N55" s="20" t="str">
        <f>CONCATENATE(YEAR(F55),"-",MONTH(F55))</f>
        <v>2024-12</v>
      </c>
      <c r="O55">
        <v>202445053553274</v>
      </c>
      <c r="P55" t="s">
        <v>203</v>
      </c>
      <c r="V55"/>
    </row>
    <row r="56" spans="1:22" hidden="1">
      <c r="A56" t="s">
        <v>186</v>
      </c>
      <c r="B56" t="s">
        <v>30</v>
      </c>
      <c r="C56" t="s">
        <v>208</v>
      </c>
      <c r="D56" t="s">
        <v>201</v>
      </c>
      <c r="E56" t="s">
        <v>209</v>
      </c>
      <c r="F56" s="20">
        <v>45636</v>
      </c>
      <c r="H56" t="s">
        <v>190</v>
      </c>
      <c r="M56" t="s">
        <v>191</v>
      </c>
      <c r="N56" s="20" t="str">
        <f>CONCATENATE(YEAR(F56),"-",MONTH(F56))</f>
        <v>2024-12</v>
      </c>
      <c r="O56">
        <v>202445076985303</v>
      </c>
      <c r="P56" t="s">
        <v>203</v>
      </c>
      <c r="V56"/>
    </row>
    <row r="57" spans="1:22" hidden="1">
      <c r="A57" t="s">
        <v>186</v>
      </c>
      <c r="B57" t="s">
        <v>30</v>
      </c>
      <c r="C57" t="s">
        <v>210</v>
      </c>
      <c r="D57" t="s">
        <v>201</v>
      </c>
      <c r="E57" t="s">
        <v>211</v>
      </c>
      <c r="F57" s="20"/>
      <c r="H57" t="s">
        <v>190</v>
      </c>
      <c r="M57" t="s">
        <v>191</v>
      </c>
      <c r="N57" s="20" t="str">
        <f>CONCATENATE(YEAR(F57),"-",MONTH(F57))</f>
        <v>1900-1</v>
      </c>
      <c r="O57">
        <v>202444626072740</v>
      </c>
      <c r="V57"/>
    </row>
    <row r="58" spans="1:22" hidden="1">
      <c r="A58" t="s">
        <v>186</v>
      </c>
      <c r="B58" t="s">
        <v>30</v>
      </c>
      <c r="C58" t="s">
        <v>210</v>
      </c>
      <c r="D58" t="s">
        <v>201</v>
      </c>
      <c r="E58" t="s">
        <v>212</v>
      </c>
      <c r="F58" s="20">
        <v>45630</v>
      </c>
      <c r="H58" t="s">
        <v>190</v>
      </c>
      <c r="M58" t="s">
        <v>191</v>
      </c>
      <c r="N58" s="20" t="str">
        <f>CONCATENATE(YEAR(F58),"-",MONTH(F58))</f>
        <v>2024-12</v>
      </c>
      <c r="O58">
        <v>202445292026273</v>
      </c>
      <c r="P58" t="s">
        <v>203</v>
      </c>
      <c r="V58"/>
    </row>
    <row r="59" spans="1:22" hidden="1">
      <c r="A59" t="s">
        <v>186</v>
      </c>
      <c r="B59" t="s">
        <v>30</v>
      </c>
      <c r="D59" t="s">
        <v>213</v>
      </c>
      <c r="E59" t="s">
        <v>214</v>
      </c>
      <c r="F59" s="20">
        <v>45652</v>
      </c>
      <c r="H59" t="s">
        <v>215</v>
      </c>
      <c r="M59" t="s">
        <v>191</v>
      </c>
      <c r="N59" s="20" t="str">
        <f>CONCATENATE(YEAR(F59),"-",MONTH(F59))</f>
        <v>2024-12</v>
      </c>
      <c r="O59">
        <v>202445352484540</v>
      </c>
      <c r="P59" t="s">
        <v>216</v>
      </c>
      <c r="V59"/>
    </row>
    <row r="60" spans="1:22" hidden="1">
      <c r="A60" t="s">
        <v>186</v>
      </c>
      <c r="B60" t="s">
        <v>30</v>
      </c>
      <c r="C60" t="s">
        <v>217</v>
      </c>
      <c r="D60" t="s">
        <v>218</v>
      </c>
      <c r="E60" t="s">
        <v>219</v>
      </c>
      <c r="F60" s="20">
        <v>45653</v>
      </c>
      <c r="H60" t="s">
        <v>215</v>
      </c>
      <c r="M60" t="s">
        <v>191</v>
      </c>
      <c r="N60" s="20" t="str">
        <f>CONCATENATE(YEAR(F60),"-",MONTH(F60))</f>
        <v>2024-12</v>
      </c>
      <c r="O60">
        <v>202445056569619</v>
      </c>
      <c r="P60" t="s">
        <v>203</v>
      </c>
      <c r="V60"/>
    </row>
    <row r="61" spans="1:22" hidden="1">
      <c r="D61" t="s">
        <v>220</v>
      </c>
      <c r="F61" s="20"/>
      <c r="N61" s="20" t="str">
        <f>CONCATENATE(YEAR(F61),"-",MONTH(F61))</f>
        <v>1900-1</v>
      </c>
      <c r="V61"/>
    </row>
    <row r="62" spans="1:22" hidden="1">
      <c r="A62" t="s">
        <v>186</v>
      </c>
      <c r="B62" t="s">
        <v>30</v>
      </c>
      <c r="D62" t="s">
        <v>221</v>
      </c>
      <c r="E62" t="s">
        <v>222</v>
      </c>
      <c r="F62" s="20">
        <v>45716</v>
      </c>
      <c r="N62" s="20" t="str">
        <f>CONCATENATE(YEAR(F62),"-",MONTH(F62))</f>
        <v>2025-2</v>
      </c>
      <c r="V62"/>
    </row>
    <row r="63" spans="1:22" hidden="1">
      <c r="A63" t="s">
        <v>186</v>
      </c>
      <c r="B63" t="s">
        <v>30</v>
      </c>
      <c r="D63" t="s">
        <v>221</v>
      </c>
      <c r="E63" t="s">
        <v>223</v>
      </c>
      <c r="F63" s="20"/>
      <c r="H63" t="s">
        <v>215</v>
      </c>
      <c r="N63" s="20" t="str">
        <f>CONCATENATE(YEAR(F63),"-",MONTH(F63))</f>
        <v>1900-1</v>
      </c>
      <c r="O63" t="s">
        <v>224</v>
      </c>
      <c r="V63"/>
    </row>
    <row r="64" spans="1:22" hidden="1">
      <c r="E64" t="s">
        <v>225</v>
      </c>
      <c r="F64" s="20"/>
      <c r="H64" t="s">
        <v>226</v>
      </c>
      <c r="N64" s="20" t="str">
        <f>CONCATENATE(YEAR(F64),"-",MONTH(F64))</f>
        <v>1900-1</v>
      </c>
      <c r="V64"/>
    </row>
    <row r="65" spans="5:22" hidden="1">
      <c r="E65" t="s">
        <v>227</v>
      </c>
      <c r="F65" s="20"/>
      <c r="H65" t="s">
        <v>228</v>
      </c>
      <c r="N65" s="20" t="str">
        <f>CONCATENATE(YEAR(F65),"-",MONTH(F65))</f>
        <v>1900-1</v>
      </c>
      <c r="V6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22"/>
  <sheetViews>
    <sheetView workbookViewId="0">
      <selection activeCell="E7" sqref="E7:F18"/>
    </sheetView>
  </sheetViews>
  <sheetFormatPr defaultRowHeight="13.9"/>
  <cols>
    <col min="1" max="1" width="17.7109375" customWidth="1"/>
    <col min="2" max="3" width="11.42578125" bestFit="1" customWidth="1"/>
  </cols>
  <sheetData>
    <row r="3" spans="1:13">
      <c r="A3" s="19" t="s">
        <v>229</v>
      </c>
      <c r="B3" t="s">
        <v>230</v>
      </c>
    </row>
    <row r="4" spans="1:13">
      <c r="A4" s="21" t="s">
        <v>231</v>
      </c>
    </row>
    <row r="5" spans="1:13">
      <c r="A5" s="21" t="s">
        <v>232</v>
      </c>
    </row>
    <row r="6" spans="1:13">
      <c r="A6" s="21" t="s">
        <v>233</v>
      </c>
      <c r="B6">
        <v>1</v>
      </c>
    </row>
    <row r="7" spans="1:13">
      <c r="A7" s="21" t="s">
        <v>234</v>
      </c>
      <c r="B7">
        <v>1</v>
      </c>
      <c r="E7" t="s">
        <v>235</v>
      </c>
      <c r="F7">
        <v>1</v>
      </c>
    </row>
    <row r="8" spans="1:13">
      <c r="A8" s="21" t="s">
        <v>236</v>
      </c>
      <c r="B8">
        <v>1</v>
      </c>
      <c r="E8" s="21" t="s">
        <v>237</v>
      </c>
      <c r="F8">
        <v>1</v>
      </c>
    </row>
    <row r="9" spans="1:13">
      <c r="A9" s="21" t="s">
        <v>237</v>
      </c>
      <c r="B9">
        <v>1</v>
      </c>
      <c r="E9" s="21" t="s">
        <v>238</v>
      </c>
      <c r="F9">
        <v>1</v>
      </c>
    </row>
    <row r="10" spans="1:13">
      <c r="A10" s="21" t="s">
        <v>238</v>
      </c>
      <c r="B10">
        <v>1</v>
      </c>
      <c r="E10" s="21" t="s">
        <v>239</v>
      </c>
      <c r="F10">
        <v>1</v>
      </c>
    </row>
    <row r="11" spans="1:13">
      <c r="A11" s="21" t="s">
        <v>239</v>
      </c>
      <c r="B11">
        <v>1</v>
      </c>
      <c r="E11" s="21" t="s">
        <v>240</v>
      </c>
      <c r="F11">
        <v>1</v>
      </c>
    </row>
    <row r="12" spans="1:13">
      <c r="A12" s="21" t="s">
        <v>240</v>
      </c>
      <c r="B12">
        <v>1</v>
      </c>
      <c r="E12" s="21" t="s">
        <v>241</v>
      </c>
    </row>
    <row r="13" spans="1:13">
      <c r="A13" s="21" t="s">
        <v>241</v>
      </c>
      <c r="E13" s="21" t="s">
        <v>242</v>
      </c>
    </row>
    <row r="14" spans="1:13">
      <c r="A14" s="21" t="s">
        <v>242</v>
      </c>
      <c r="E14" t="s">
        <v>243</v>
      </c>
      <c r="F14">
        <v>1</v>
      </c>
    </row>
    <row r="15" spans="1:13">
      <c r="A15" s="21" t="s">
        <v>243</v>
      </c>
      <c r="B15">
        <v>1</v>
      </c>
      <c r="E15" t="s">
        <v>244</v>
      </c>
      <c r="F15">
        <v>1</v>
      </c>
      <c r="G15" s="21"/>
      <c r="H15" s="21"/>
      <c r="I15" s="21"/>
      <c r="J15" s="21"/>
      <c r="K15" s="21"/>
      <c r="L15" s="21"/>
      <c r="M15" s="21"/>
    </row>
    <row r="16" spans="1:13">
      <c r="A16" s="21" t="s">
        <v>244</v>
      </c>
      <c r="B16">
        <v>1</v>
      </c>
      <c r="E16" s="21" t="s">
        <v>233</v>
      </c>
      <c r="F16">
        <v>1</v>
      </c>
    </row>
    <row r="17" spans="1:17">
      <c r="A17" s="21" t="s">
        <v>235</v>
      </c>
      <c r="B17">
        <v>1</v>
      </c>
      <c r="E17" s="21" t="s">
        <v>234</v>
      </c>
      <c r="F17">
        <v>1</v>
      </c>
    </row>
    <row r="18" spans="1:17">
      <c r="A18" s="21" t="s">
        <v>245</v>
      </c>
      <c r="B18">
        <v>10</v>
      </c>
      <c r="E18" s="21" t="s">
        <v>236</v>
      </c>
      <c r="F18">
        <v>1</v>
      </c>
    </row>
    <row r="21" spans="1:17">
      <c r="F21" t="s">
        <v>235</v>
      </c>
      <c r="G21" s="21" t="s">
        <v>237</v>
      </c>
      <c r="H21" s="21" t="s">
        <v>238</v>
      </c>
      <c r="I21" s="21" t="s">
        <v>239</v>
      </c>
      <c r="J21" s="21" t="s">
        <v>240</v>
      </c>
      <c r="K21" s="21" t="s">
        <v>241</v>
      </c>
      <c r="L21" s="21" t="s">
        <v>242</v>
      </c>
      <c r="M21" t="s">
        <v>243</v>
      </c>
      <c r="N21" t="s">
        <v>244</v>
      </c>
      <c r="O21" s="21" t="s">
        <v>233</v>
      </c>
      <c r="P21" s="21" t="s">
        <v>234</v>
      </c>
      <c r="Q21" s="21" t="s">
        <v>236</v>
      </c>
    </row>
    <row r="22" spans="1:17">
      <c r="F22">
        <v>1</v>
      </c>
      <c r="G22">
        <v>1</v>
      </c>
      <c r="H22">
        <v>1</v>
      </c>
      <c r="I22">
        <v>1</v>
      </c>
      <c r="J22">
        <v>1</v>
      </c>
      <c r="M22">
        <v>1</v>
      </c>
      <c r="N22">
        <v>1</v>
      </c>
      <c r="O22">
        <v>1</v>
      </c>
      <c r="P22">
        <v>1</v>
      </c>
      <c r="Q22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18"/>
  <sheetViews>
    <sheetView workbookViewId="0">
      <selection activeCell="D5" sqref="D5:E11"/>
    </sheetView>
  </sheetViews>
  <sheetFormatPr defaultRowHeight="13.9"/>
  <cols>
    <col min="1" max="1" width="17.7109375" customWidth="1"/>
    <col min="2" max="3" width="20" bestFit="1" customWidth="1"/>
  </cols>
  <sheetData>
    <row r="3" spans="1:13">
      <c r="A3" s="19" t="s">
        <v>229</v>
      </c>
      <c r="B3" t="s">
        <v>246</v>
      </c>
    </row>
    <row r="4" spans="1:13">
      <c r="A4" s="21" t="s">
        <v>231</v>
      </c>
    </row>
    <row r="5" spans="1:13">
      <c r="A5" s="21" t="s">
        <v>232</v>
      </c>
      <c r="D5" t="s">
        <v>241</v>
      </c>
      <c r="E5">
        <v>8</v>
      </c>
    </row>
    <row r="6" spans="1:13">
      <c r="A6" s="21" t="s">
        <v>235</v>
      </c>
      <c r="D6" t="s">
        <v>242</v>
      </c>
      <c r="E6">
        <v>8</v>
      </c>
    </row>
    <row r="7" spans="1:13">
      <c r="A7" s="21" t="s">
        <v>233</v>
      </c>
      <c r="B7">
        <v>6</v>
      </c>
      <c r="D7" t="s">
        <v>243</v>
      </c>
      <c r="E7">
        <v>10</v>
      </c>
    </row>
    <row r="8" spans="1:13">
      <c r="A8" s="21" t="s">
        <v>234</v>
      </c>
      <c r="B8">
        <v>6</v>
      </c>
      <c r="D8" t="s">
        <v>244</v>
      </c>
      <c r="E8">
        <v>8</v>
      </c>
    </row>
    <row r="9" spans="1:13">
      <c r="A9" s="21" t="s">
        <v>236</v>
      </c>
      <c r="B9">
        <v>4</v>
      </c>
      <c r="D9" t="s">
        <v>233</v>
      </c>
      <c r="E9">
        <v>6</v>
      </c>
    </row>
    <row r="10" spans="1:13">
      <c r="A10" s="21" t="s">
        <v>237</v>
      </c>
      <c r="D10" t="s">
        <v>234</v>
      </c>
      <c r="E10">
        <v>6</v>
      </c>
    </row>
    <row r="11" spans="1:13">
      <c r="A11" s="21" t="s">
        <v>238</v>
      </c>
      <c r="D11" t="s">
        <v>236</v>
      </c>
      <c r="E11">
        <v>4</v>
      </c>
    </row>
    <row r="12" spans="1:13">
      <c r="A12" s="21" t="s">
        <v>239</v>
      </c>
    </row>
    <row r="13" spans="1:13">
      <c r="A13" s="21" t="s">
        <v>240</v>
      </c>
    </row>
    <row r="14" spans="1:13">
      <c r="A14" s="21" t="s">
        <v>241</v>
      </c>
      <c r="B14">
        <v>8</v>
      </c>
    </row>
    <row r="15" spans="1:13">
      <c r="A15" s="21" t="s">
        <v>242</v>
      </c>
      <c r="B15">
        <v>8</v>
      </c>
      <c r="D15" t="s">
        <v>241</v>
      </c>
      <c r="E15" t="s">
        <v>242</v>
      </c>
      <c r="F15" t="s">
        <v>243</v>
      </c>
      <c r="G15" t="s">
        <v>244</v>
      </c>
      <c r="H15" t="s">
        <v>233</v>
      </c>
      <c r="I15" t="s">
        <v>234</v>
      </c>
      <c r="J15" t="s">
        <v>236</v>
      </c>
      <c r="K15" s="21"/>
      <c r="L15" s="21"/>
      <c r="M15" s="21"/>
    </row>
    <row r="16" spans="1:13">
      <c r="A16" s="21" t="s">
        <v>243</v>
      </c>
      <c r="B16">
        <v>10</v>
      </c>
      <c r="D16">
        <v>8</v>
      </c>
      <c r="E16">
        <v>8</v>
      </c>
      <c r="F16">
        <v>10</v>
      </c>
      <c r="G16">
        <v>8</v>
      </c>
      <c r="H16">
        <v>6</v>
      </c>
      <c r="I16">
        <v>6</v>
      </c>
      <c r="J16">
        <v>4</v>
      </c>
    </row>
    <row r="17" spans="1:2">
      <c r="A17" s="21" t="s">
        <v>244</v>
      </c>
      <c r="B17">
        <v>8</v>
      </c>
    </row>
    <row r="18" spans="1:2">
      <c r="A18" s="21" t="s">
        <v>245</v>
      </c>
      <c r="B18"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26"/>
  <sheetViews>
    <sheetView workbookViewId="0">
      <selection activeCell="F4" sqref="F4:F12"/>
    </sheetView>
  </sheetViews>
  <sheetFormatPr defaultRowHeight="13.9"/>
  <cols>
    <col min="1" max="1" width="17.7109375" customWidth="1"/>
    <col min="2" max="2" width="17.5703125" bestFit="1" customWidth="1"/>
    <col min="6" max="6" width="9.140625" bestFit="1" customWidth="1"/>
  </cols>
  <sheetData>
    <row r="3" spans="1:6">
      <c r="A3" s="19" t="s">
        <v>229</v>
      </c>
      <c r="B3" t="s">
        <v>247</v>
      </c>
    </row>
    <row r="4" spans="1:6">
      <c r="A4" s="21" t="s">
        <v>231</v>
      </c>
      <c r="E4" s="21" t="s">
        <v>239</v>
      </c>
      <c r="F4" s="23">
        <v>2963</v>
      </c>
    </row>
    <row r="5" spans="1:6">
      <c r="A5" s="21" t="s">
        <v>232</v>
      </c>
      <c r="E5" s="21" t="s">
        <v>240</v>
      </c>
      <c r="F5" s="23">
        <v>1686</v>
      </c>
    </row>
    <row r="6" spans="1:6">
      <c r="A6" s="21" t="s">
        <v>233</v>
      </c>
      <c r="B6">
        <v>2210</v>
      </c>
      <c r="E6" s="21" t="s">
        <v>241</v>
      </c>
      <c r="F6" s="23">
        <v>2854</v>
      </c>
    </row>
    <row r="7" spans="1:6">
      <c r="A7" s="21" t="s">
        <v>234</v>
      </c>
      <c r="B7">
        <v>2268</v>
      </c>
      <c r="E7" s="21" t="s">
        <v>242</v>
      </c>
      <c r="F7" s="23">
        <v>1027</v>
      </c>
    </row>
    <row r="8" spans="1:6">
      <c r="A8" s="21" t="s">
        <v>236</v>
      </c>
      <c r="B8">
        <v>2225</v>
      </c>
      <c r="E8" s="21" t="s">
        <v>243</v>
      </c>
      <c r="F8" s="23">
        <v>1261</v>
      </c>
    </row>
    <row r="9" spans="1:6">
      <c r="A9" s="21" t="s">
        <v>237</v>
      </c>
      <c r="E9" s="21" t="s">
        <v>244</v>
      </c>
      <c r="F9" s="23">
        <v>2840</v>
      </c>
    </row>
    <row r="10" spans="1:6">
      <c r="A10" s="21" t="s">
        <v>238</v>
      </c>
      <c r="E10" s="21" t="s">
        <v>233</v>
      </c>
      <c r="F10" s="23">
        <v>2210</v>
      </c>
    </row>
    <row r="11" spans="1:6">
      <c r="A11" s="21" t="s">
        <v>239</v>
      </c>
      <c r="B11">
        <v>2963</v>
      </c>
      <c r="E11" s="21" t="s">
        <v>234</v>
      </c>
      <c r="F11" s="23">
        <v>2268</v>
      </c>
    </row>
    <row r="12" spans="1:6">
      <c r="A12" s="21" t="s">
        <v>240</v>
      </c>
      <c r="B12">
        <v>1686</v>
      </c>
      <c r="E12" s="21" t="s">
        <v>236</v>
      </c>
      <c r="F12" s="23">
        <v>2225</v>
      </c>
    </row>
    <row r="13" spans="1:6">
      <c r="A13" s="21" t="s">
        <v>241</v>
      </c>
      <c r="B13">
        <v>2854</v>
      </c>
    </row>
    <row r="14" spans="1:6">
      <c r="A14" s="21" t="s">
        <v>242</v>
      </c>
      <c r="B14">
        <v>1027</v>
      </c>
    </row>
    <row r="15" spans="1:6">
      <c r="A15" s="21" t="s">
        <v>243</v>
      </c>
      <c r="B15">
        <v>1261</v>
      </c>
    </row>
    <row r="16" spans="1:6">
      <c r="A16" s="21" t="s">
        <v>244</v>
      </c>
      <c r="B16">
        <v>2840</v>
      </c>
    </row>
    <row r="17" spans="1:13">
      <c r="A17" s="21" t="s">
        <v>235</v>
      </c>
    </row>
    <row r="18" spans="1:13">
      <c r="A18" s="21" t="s">
        <v>245</v>
      </c>
      <c r="B18">
        <v>19334</v>
      </c>
    </row>
    <row r="25" spans="1:13">
      <c r="E25" s="21" t="s">
        <v>239</v>
      </c>
      <c r="F25" s="21" t="s">
        <v>240</v>
      </c>
      <c r="G25" s="21" t="s">
        <v>241</v>
      </c>
      <c r="H25" s="21" t="s">
        <v>242</v>
      </c>
      <c r="I25" s="21" t="s">
        <v>243</v>
      </c>
      <c r="J25" s="21" t="s">
        <v>244</v>
      </c>
      <c r="K25" s="21" t="s">
        <v>233</v>
      </c>
      <c r="L25" s="21" t="s">
        <v>234</v>
      </c>
      <c r="M25" s="21" t="s">
        <v>236</v>
      </c>
    </row>
    <row r="26" spans="1:13">
      <c r="E26">
        <v>2963</v>
      </c>
      <c r="F26">
        <v>1686</v>
      </c>
      <c r="G26">
        <v>2854</v>
      </c>
      <c r="H26">
        <v>1027</v>
      </c>
      <c r="I26">
        <v>1261</v>
      </c>
      <c r="J26">
        <v>2840</v>
      </c>
      <c r="K26">
        <v>2210</v>
      </c>
      <c r="L26">
        <v>2268</v>
      </c>
      <c r="M26">
        <v>2225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zoomScale="70" zoomScaleNormal="70" workbookViewId="0">
      <selection activeCell="C28" sqref="C28"/>
    </sheetView>
  </sheetViews>
  <sheetFormatPr defaultRowHeight="13.9"/>
  <cols>
    <col min="1" max="1" width="22.85546875" bestFit="1" customWidth="1"/>
    <col min="2" max="2" width="12.140625" bestFit="1" customWidth="1"/>
    <col min="3" max="3" width="30.42578125" bestFit="1" customWidth="1"/>
    <col min="4" max="4" width="17.42578125" bestFit="1" customWidth="1"/>
    <col min="5" max="5" width="9.5703125" bestFit="1" customWidth="1"/>
    <col min="6" max="6" width="85.85546875" bestFit="1" customWidth="1"/>
    <col min="7" max="7" width="6.7109375" customWidth="1"/>
    <col min="8" max="8" width="68.140625" bestFit="1" customWidth="1"/>
    <col min="9" max="9" width="23.5703125" customWidth="1"/>
    <col min="10" max="10" width="44.28515625" bestFit="1" customWidth="1"/>
  </cols>
  <sheetData>
    <row r="1" spans="1:11">
      <c r="A1" s="16" t="s">
        <v>0</v>
      </c>
      <c r="B1" s="17" t="s">
        <v>1</v>
      </c>
      <c r="C1" s="16" t="s">
        <v>3</v>
      </c>
      <c r="D1" s="17" t="s">
        <v>248</v>
      </c>
      <c r="E1" s="17" t="s">
        <v>249</v>
      </c>
      <c r="F1" s="16" t="s">
        <v>4</v>
      </c>
      <c r="G1" s="16" t="s">
        <v>2</v>
      </c>
      <c r="H1" s="16" t="s">
        <v>7</v>
      </c>
      <c r="I1" s="17" t="s">
        <v>250</v>
      </c>
      <c r="J1" s="17" t="s">
        <v>251</v>
      </c>
    </row>
    <row r="2" spans="1:11" s="1" customFormat="1" ht="14.45">
      <c r="A2" s="2" t="s">
        <v>186</v>
      </c>
      <c r="B2" s="3" t="s">
        <v>17</v>
      </c>
      <c r="C2" s="2"/>
      <c r="D2" s="5">
        <v>202445145568750</v>
      </c>
      <c r="E2" s="3"/>
      <c r="F2" s="6" t="s">
        <v>252</v>
      </c>
      <c r="G2" s="18" t="s">
        <v>253</v>
      </c>
      <c r="H2" s="7" t="s">
        <v>254</v>
      </c>
      <c r="I2" s="4"/>
      <c r="J2" s="3"/>
      <c r="K2" s="3"/>
    </row>
    <row r="3" spans="1:11">
      <c r="A3" s="8" t="s">
        <v>255</v>
      </c>
      <c r="B3" s="9" t="s">
        <v>256</v>
      </c>
      <c r="C3" s="8" t="s">
        <v>257</v>
      </c>
      <c r="D3" s="10">
        <v>202445221241441</v>
      </c>
      <c r="E3" s="10">
        <v>1132202</v>
      </c>
      <c r="F3" s="11"/>
      <c r="G3" s="11"/>
      <c r="H3" s="8" t="s">
        <v>258</v>
      </c>
      <c r="I3" s="12">
        <v>45601</v>
      </c>
      <c r="J3" s="9"/>
    </row>
    <row r="4" spans="1:11">
      <c r="A4" s="8" t="s">
        <v>255</v>
      </c>
      <c r="B4" s="9" t="s">
        <v>256</v>
      </c>
      <c r="C4" s="8" t="s">
        <v>259</v>
      </c>
      <c r="D4" s="10">
        <v>202445221248310</v>
      </c>
      <c r="E4" s="10">
        <v>1132204</v>
      </c>
      <c r="F4" s="13"/>
      <c r="G4" s="13"/>
      <c r="H4" s="8" t="s">
        <v>258</v>
      </c>
      <c r="I4" s="12">
        <v>45601</v>
      </c>
      <c r="J4" s="9"/>
    </row>
    <row r="5" spans="1:11">
      <c r="A5" s="8" t="s">
        <v>255</v>
      </c>
      <c r="B5" s="9" t="s">
        <v>256</v>
      </c>
      <c r="C5" s="8" t="s">
        <v>260</v>
      </c>
      <c r="D5" s="10">
        <v>202445221241441</v>
      </c>
      <c r="E5" s="10">
        <v>1132202</v>
      </c>
      <c r="F5" s="9"/>
      <c r="G5" s="9"/>
      <c r="H5" s="8" t="s">
        <v>258</v>
      </c>
      <c r="I5" s="12">
        <v>45601</v>
      </c>
      <c r="J5" s="9"/>
    </row>
    <row r="6" spans="1:11">
      <c r="A6" s="8" t="s">
        <v>255</v>
      </c>
      <c r="B6" s="9" t="s">
        <v>256</v>
      </c>
      <c r="C6" s="8" t="s">
        <v>259</v>
      </c>
      <c r="D6" s="10">
        <v>202445221248310</v>
      </c>
      <c r="E6" s="10">
        <v>1132204</v>
      </c>
      <c r="F6" s="9"/>
      <c r="G6" s="9"/>
      <c r="H6" s="8" t="s">
        <v>258</v>
      </c>
      <c r="I6" s="12">
        <v>45601</v>
      </c>
      <c r="J6" s="9"/>
    </row>
    <row r="7" spans="1:11">
      <c r="A7" s="8" t="s">
        <v>255</v>
      </c>
      <c r="B7" s="9" t="s">
        <v>256</v>
      </c>
      <c r="C7" s="14" t="s">
        <v>259</v>
      </c>
      <c r="D7" s="10" t="s">
        <v>261</v>
      </c>
      <c r="E7" s="10">
        <v>1134828</v>
      </c>
      <c r="F7" s="9"/>
      <c r="G7" s="9"/>
      <c r="H7" s="8" t="s">
        <v>262</v>
      </c>
      <c r="I7" s="12">
        <v>45649</v>
      </c>
      <c r="J7" s="9"/>
    </row>
    <row r="8" spans="1:11">
      <c r="A8" s="8" t="s">
        <v>255</v>
      </c>
      <c r="B8" s="9" t="s">
        <v>256</v>
      </c>
      <c r="C8" s="8" t="s">
        <v>259</v>
      </c>
      <c r="D8" s="10">
        <v>202344460673737</v>
      </c>
      <c r="E8" s="9">
        <v>1134828</v>
      </c>
      <c r="F8" s="9"/>
      <c r="G8" s="9"/>
      <c r="H8" s="8" t="s">
        <v>263</v>
      </c>
      <c r="I8" s="12">
        <v>45649</v>
      </c>
      <c r="J8" s="9"/>
    </row>
    <row r="9" spans="1:11">
      <c r="A9" s="8" t="s">
        <v>255</v>
      </c>
      <c r="B9" s="9" t="s">
        <v>256</v>
      </c>
      <c r="C9" s="8" t="s">
        <v>264</v>
      </c>
      <c r="D9" s="10">
        <v>202445070049250</v>
      </c>
      <c r="E9" s="11">
        <v>1129008</v>
      </c>
      <c r="F9" s="9"/>
      <c r="G9" s="9"/>
      <c r="H9" s="8" t="s">
        <v>265</v>
      </c>
      <c r="I9" s="12">
        <v>45533</v>
      </c>
      <c r="J9" s="9"/>
    </row>
    <row r="10" spans="1:11">
      <c r="A10" s="8" t="s">
        <v>255</v>
      </c>
      <c r="B10" s="9" t="s">
        <v>256</v>
      </c>
      <c r="C10" s="8" t="s">
        <v>266</v>
      </c>
      <c r="D10" s="10">
        <v>202445070043051</v>
      </c>
      <c r="E10" s="11">
        <v>1130904</v>
      </c>
      <c r="F10" s="9"/>
      <c r="G10" s="9"/>
      <c r="H10" s="8" t="s">
        <v>265</v>
      </c>
      <c r="I10" s="12">
        <v>45574</v>
      </c>
      <c r="J10" s="9"/>
    </row>
    <row r="11" spans="1:11">
      <c r="A11" s="8" t="s">
        <v>255</v>
      </c>
      <c r="B11" s="9" t="s">
        <v>256</v>
      </c>
      <c r="C11" s="8" t="s">
        <v>218</v>
      </c>
      <c r="D11" s="10" t="s">
        <v>267</v>
      </c>
      <c r="E11" s="11">
        <v>1137128</v>
      </c>
      <c r="F11" s="9"/>
      <c r="G11" s="9"/>
      <c r="H11" s="8" t="s">
        <v>268</v>
      </c>
      <c r="I11" s="12">
        <v>45691</v>
      </c>
      <c r="J11" s="9"/>
    </row>
    <row r="12" spans="1:11">
      <c r="A12" s="8" t="s">
        <v>255</v>
      </c>
      <c r="B12" s="9" t="s">
        <v>256</v>
      </c>
      <c r="C12" s="8" t="s">
        <v>218</v>
      </c>
      <c r="D12" s="10">
        <v>202445378270210</v>
      </c>
      <c r="E12" s="9">
        <v>1135677</v>
      </c>
      <c r="F12" s="9"/>
      <c r="G12" s="9"/>
      <c r="H12" s="8" t="s">
        <v>269</v>
      </c>
      <c r="I12" s="12">
        <v>45664</v>
      </c>
      <c r="J12" s="9"/>
    </row>
    <row r="13" spans="1:11">
      <c r="A13" s="8" t="s">
        <v>255</v>
      </c>
      <c r="B13" s="9" t="s">
        <v>256</v>
      </c>
      <c r="C13" s="8" t="s">
        <v>270</v>
      </c>
      <c r="D13" s="10">
        <v>202445413673860</v>
      </c>
      <c r="E13" s="11">
        <v>1136658</v>
      </c>
      <c r="F13" s="9"/>
      <c r="G13" s="9"/>
      <c r="H13" s="8" t="s">
        <v>271</v>
      </c>
      <c r="I13" s="12">
        <v>45678</v>
      </c>
      <c r="J13" s="9" t="s">
        <v>272</v>
      </c>
    </row>
    <row r="14" spans="1:11">
      <c r="A14" s="8" t="s">
        <v>255</v>
      </c>
      <c r="B14" s="9" t="s">
        <v>256</v>
      </c>
      <c r="C14" s="14" t="s">
        <v>259</v>
      </c>
      <c r="D14" s="10">
        <v>202445118106277</v>
      </c>
      <c r="E14" s="10">
        <v>1135136</v>
      </c>
      <c r="F14" s="9"/>
      <c r="G14" s="9"/>
      <c r="H14" s="8" t="s">
        <v>273</v>
      </c>
      <c r="I14" s="12">
        <v>45653</v>
      </c>
      <c r="J14" s="9"/>
    </row>
    <row r="15" spans="1:11">
      <c r="A15" s="8" t="s">
        <v>186</v>
      </c>
      <c r="B15" s="9" t="s">
        <v>256</v>
      </c>
      <c r="C15" s="8" t="s">
        <v>274</v>
      </c>
      <c r="D15" s="10">
        <v>202444942651770</v>
      </c>
      <c r="E15" s="9" t="s">
        <v>191</v>
      </c>
      <c r="F15" s="9"/>
      <c r="G15" s="9"/>
      <c r="H15" s="8" t="s">
        <v>275</v>
      </c>
      <c r="I15" s="12">
        <v>45457</v>
      </c>
      <c r="J15" s="9" t="s">
        <v>276</v>
      </c>
    </row>
    <row r="16" spans="1:11">
      <c r="A16" s="8" t="s">
        <v>186</v>
      </c>
      <c r="B16" s="9" t="s">
        <v>256</v>
      </c>
      <c r="C16" s="8" t="s">
        <v>277</v>
      </c>
      <c r="D16" s="10" t="s">
        <v>278</v>
      </c>
      <c r="E16" s="9" t="s">
        <v>191</v>
      </c>
      <c r="F16" s="15" t="s">
        <v>279</v>
      </c>
      <c r="G16" s="15"/>
      <c r="H16" s="8" t="s">
        <v>280</v>
      </c>
      <c r="I16" s="9"/>
      <c r="J16" s="9" t="s">
        <v>281</v>
      </c>
    </row>
    <row r="17" spans="1:10">
      <c r="A17" s="8" t="s">
        <v>186</v>
      </c>
      <c r="B17" s="9" t="s">
        <v>256</v>
      </c>
      <c r="C17" s="8" t="s">
        <v>266</v>
      </c>
      <c r="D17" s="10">
        <v>202445225766527</v>
      </c>
      <c r="E17" s="10">
        <v>1135503</v>
      </c>
      <c r="F17" s="9"/>
      <c r="G17" s="9"/>
      <c r="H17" s="8" t="s">
        <v>215</v>
      </c>
      <c r="I17" s="12">
        <v>45659</v>
      </c>
      <c r="J17" s="9"/>
    </row>
    <row r="18" spans="1:10">
      <c r="A18" s="8" t="s">
        <v>186</v>
      </c>
      <c r="B18" s="9" t="s">
        <v>256</v>
      </c>
      <c r="C18" s="8" t="s">
        <v>264</v>
      </c>
      <c r="D18" s="10">
        <v>202445225782729</v>
      </c>
      <c r="E18" s="10">
        <v>1135504</v>
      </c>
      <c r="F18" s="9"/>
      <c r="G18" s="9"/>
      <c r="H18" s="8" t="s">
        <v>215</v>
      </c>
      <c r="I18" s="12">
        <v>45659</v>
      </c>
      <c r="J18" s="9"/>
    </row>
    <row r="19" spans="1:10">
      <c r="A19" s="8" t="s">
        <v>186</v>
      </c>
      <c r="B19" s="9" t="s">
        <v>256</v>
      </c>
      <c r="C19" s="8" t="s">
        <v>266</v>
      </c>
      <c r="D19" s="10">
        <v>202445225766527</v>
      </c>
      <c r="E19" s="10">
        <v>1132273</v>
      </c>
      <c r="F19" s="9"/>
      <c r="G19" s="9"/>
      <c r="H19" s="8" t="s">
        <v>215</v>
      </c>
      <c r="I19" s="12">
        <v>45659</v>
      </c>
      <c r="J19" s="9"/>
    </row>
    <row r="20" spans="1:10">
      <c r="A20" s="8" t="s">
        <v>186</v>
      </c>
      <c r="B20" s="9" t="s">
        <v>256</v>
      </c>
      <c r="C20" s="8" t="s">
        <v>264</v>
      </c>
      <c r="D20" s="10">
        <v>202445225782729</v>
      </c>
      <c r="E20" s="10">
        <v>1132275</v>
      </c>
      <c r="F20" s="9"/>
      <c r="G20" s="9"/>
      <c r="H20" s="8" t="s">
        <v>215</v>
      </c>
      <c r="I20" s="12">
        <v>45602</v>
      </c>
      <c r="J20" s="9"/>
    </row>
    <row r="21" spans="1:10">
      <c r="A21" s="8" t="s">
        <v>186</v>
      </c>
      <c r="B21" s="9" t="s">
        <v>256</v>
      </c>
      <c r="C21" s="8" t="s">
        <v>218</v>
      </c>
      <c r="D21" s="10">
        <v>202445413673860</v>
      </c>
      <c r="E21" s="11">
        <v>1136657</v>
      </c>
      <c r="F21" s="9"/>
      <c r="G21" s="9"/>
      <c r="H21" s="8" t="s">
        <v>271</v>
      </c>
      <c r="I21" s="12">
        <v>45678</v>
      </c>
      <c r="J21" s="9" t="s">
        <v>282</v>
      </c>
    </row>
    <row r="22" spans="1:10">
      <c r="A22" t="s">
        <v>186</v>
      </c>
      <c r="B22" t="s">
        <v>17</v>
      </c>
      <c r="C22" t="s">
        <v>218</v>
      </c>
      <c r="D22">
        <v>202445357917396</v>
      </c>
      <c r="E22" t="s">
        <v>191</v>
      </c>
      <c r="F22" t="s">
        <v>283</v>
      </c>
      <c r="H22" t="s">
        <v>284</v>
      </c>
      <c r="I22">
        <v>45653</v>
      </c>
      <c r="J22" t="s">
        <v>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2024-12-24T11:35:14Z</dcterms:created>
  <dcterms:modified xsi:type="dcterms:W3CDTF">2025-11-10T18:17:01Z</dcterms:modified>
  <cp:category/>
  <cp:contentStatus/>
</cp:coreProperties>
</file>